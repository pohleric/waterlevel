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defaultThemeVersion="202300"/>
  <mc:AlternateContent xmlns:mc="http://schemas.openxmlformats.org/markup-compatibility/2006">
    <mc:Choice Requires="x15">
      <x15ac:absPath xmlns:x15ac="http://schemas.microsoft.com/office/spreadsheetml/2010/11/ac" url="/Users/pohle/Dropbox/Central_Asia/DISCHARGE/Q-FL/"/>
    </mc:Choice>
  </mc:AlternateContent>
  <xr:revisionPtr revIDLastSave="0" documentId="8_{194D2B7A-B3E9-4A45-9B06-6FDB2A68C779}" xr6:coauthVersionLast="47" xr6:coauthVersionMax="47" xr10:uidLastSave="{00000000-0000-0000-0000-000000000000}"/>
  <bookViews>
    <workbookView xWindow="2320" yWindow="2320" windowWidth="26820" windowHeight="15940" xr2:uid="{1D49A3F8-2DF0-584B-8DE0-EE344CC1AC40}"/>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<sst xmlns="http://schemas.openxmlformats.org/spreadsheetml/2006/main" count="285" uniqueCount="65">
  <si>
    <t>place</t>
  </si>
  <si>
    <t>injection point</t>
  </si>
  <si>
    <t>measurement point</t>
  </si>
  <si>
    <t>date</t>
  </si>
  <si>
    <t>time</t>
  </si>
  <si>
    <t>tracer</t>
  </si>
  <si>
    <t>amount [ml](F) or [g](S)</t>
  </si>
  <si>
    <t>base solution [g/l]</t>
  </si>
  <si>
    <t>approx signal max [ppb](F) or [mg/l](S)</t>
  </si>
  <si>
    <t>discharge (calc) [m3/s]</t>
  </si>
  <si>
    <t>discharge (calc with extrapolation) [m3/s]</t>
  </si>
  <si>
    <t>discharge (manual adjusts) [m3/s]</t>
  </si>
  <si>
    <t>discharge (calc) [l/s]</t>
  </si>
  <si>
    <t>uncertainty [%]</t>
  </si>
  <si>
    <t>calibration?</t>
  </si>
  <si>
    <t>quality [3 - dubious]</t>
  </si>
  <si>
    <t>comment</t>
  </si>
  <si>
    <t>plot</t>
  </si>
  <si>
    <t>G354</t>
  </si>
  <si>
    <t>G354_INJ_2019-08-22</t>
  </si>
  <si>
    <t>G354_FL_2019-08-23</t>
  </si>
  <si>
    <t>F</t>
  </si>
  <si>
    <t>NO CALIB</t>
  </si>
  <si>
    <t>no calibration at all</t>
  </si>
  <si>
    <t xml:space="preserve">104g ; must be the liquid. So this should correspond to 104ml of the 300g/l solution from fluotechnik. </t>
  </si>
  <si>
    <t>measurements of 52g by eye. Half of the 104 ml. Useless? No calib anyways. What happened with the other half? Maybe first injection (day before) was also just 52g?</t>
  </si>
  <si>
    <t>yes, 10:27</t>
  </si>
  <si>
    <t>yes, 11:15</t>
  </si>
  <si>
    <t>yes, 14:27</t>
  </si>
  <si>
    <t>needs repair</t>
  </si>
  <si>
    <t>Probably no calibration either. Picked up by Tomas and co. after bridge was destroyed and no access possible in summer 2021</t>
  </si>
  <si>
    <t>yes 2</t>
  </si>
  <si>
    <r>
      <rPr>
        <sz val="12"/>
        <color rgb="FFFF0000"/>
        <rFont val="Calibri (Body)"/>
      </rPr>
      <t>Value looks very high</t>
    </r>
    <r>
      <rPr>
        <sz val="12"/>
        <color rgb="FFFF0000"/>
        <rFont val="Aptos Narrow"/>
        <family val="2"/>
        <scheme val="minor"/>
      </rPr>
      <t>! Problem with several weeks before prepared calibration fluid / and possible exposure to sun light? The signals look very low; maybe result of decay.</t>
    </r>
  </si>
  <si>
    <r>
      <rPr>
        <sz val="12"/>
        <color rgb="FFFF0000"/>
        <rFont val="Calibri (Body)"/>
      </rPr>
      <t>not repaired - bad calibration; no idea which point is good. Second point adds very little. So maybe only point 1.</t>
    </r>
    <r>
      <rPr>
        <sz val="12"/>
        <color rgb="FFFF0000"/>
        <rFont val="Aptos Narrow"/>
        <family val="2"/>
        <scheme val="minor"/>
      </rPr>
      <t>needs repair</t>
    </r>
  </si>
  <si>
    <t>bad calibration</t>
  </si>
  <si>
    <t>/</t>
  </si>
  <si>
    <t>broken. Not useful</t>
  </si>
  <si>
    <t>G354_INJ-HIGH_2022</t>
  </si>
  <si>
    <t>G354_FL_2022</t>
  </si>
  <si>
    <t>sudden increase in water level and sediment concentration</t>
  </si>
  <si>
    <t>Using calibration from later experiment</t>
  </si>
  <si>
    <t>100m further upstream</t>
  </si>
  <si>
    <t>G354_INJ-LOW_2022</t>
  </si>
  <si>
    <t>yes, 08:51</t>
  </si>
  <si>
    <t>Using previous calibration</t>
  </si>
  <si>
    <t>yes</t>
  </si>
  <si>
    <t>signal jumping, background of 0.1-0.3 ppb, can be partly repaired</t>
  </si>
  <si>
    <t>can partly be repaired</t>
  </si>
  <si>
    <t>yes, 12:50</t>
  </si>
  <si>
    <t>bad</t>
  </si>
  <si>
    <t>good</t>
  </si>
  <si>
    <t>not working, too much sediments</t>
  </si>
  <si>
    <t>VERY NOISY</t>
  </si>
  <si>
    <t>Second curve is much higher. Only few minutes after. Maybe wrong dose??? The 5.6 m3s make sense. The 3.2 from the stronger curve not so much. Maybe related to new liquid and old calib liquid? Calibration signals are clearly declining over time (See  2024 - Measurements_G354.xlsx)</t>
  </si>
  <si>
    <t>G354_INJ-HIGH_2024</t>
  </si>
  <si>
    <t>new solution: made in tent. Different solution than calibration fluid! Images show 51.86 g // check fieldbook</t>
  </si>
  <si>
    <t>new solution: jumping signal; maybe 400 ml? or even 500 ml?</t>
  </si>
  <si>
    <t>okish</t>
  </si>
  <si>
    <t>yes, 5:50</t>
  </si>
  <si>
    <t>wait for jinghengs confirmation</t>
  </si>
  <si>
    <t>F-Sommer</t>
  </si>
  <si>
    <t>high uncertainty but only because second probe looked bad</t>
  </si>
  <si>
    <t>strong linear trend in mV signal</t>
  </si>
  <si>
    <t>uncertainty says bad signal to noise but is actually ok</t>
  </si>
  <si>
    <t>uncertainty makes no sense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</si>
</sst>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Aptos Narrow"/>
      <family val="2"/>
      <scheme val="minor"/>
    </font>
    <font>
      <sz val="12"/>
      <color rgb="FFFF0000"/>
      <name val="Aptos Narrow"/>
      <family val="2"/>
      <scheme val="minor"/>
    </font>
    <font>
      <b/>
      <sz val="12"/>
      <color theme="1"/>
      <name val="Aptos Narrow"/>
      <family val="2"/>
      <scheme val="minor"/>
    </font>
    <font>
      <sz val="12"/>
      <color rgb="FFFF32E5"/>
      <name val="Aptos Narrow"/>
      <family val="2"/>
      <scheme val="minor"/>
    </font>
    <font>
      <sz val="12"/>
      <color rgb="FFFF0000"/>
      <name val="Calibri (Body)"/>
    </font>
    <font>
      <sz val="12"/>
      <name val="Aptos Narrow"/>
      <family val="2"/>
      <scheme val="minor"/>
    </font>
    <font>
      <sz val="12"/>
      <color rgb="FF00B050"/>
      <name val="Aptos Narrow"/>
      <family val="2"/>
      <scheme val="minor"/>
    </font>
    <font>
      <b/>
      <sz val="12"/>
      <color rgb="FFFF32E5"/>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rgb="FFFF0000"/>
        <bgColor indexed="64"/>
      </patternFill>
    </fill>
  </fills>
  <borders count="1">
    <border>
      <left/>
      <right/>
      <top/>
      <bottom/>
      <diagonal/>
    </border>
  </borders>
  <cellStyleXfs count="1">
    <xf numFmtId="0" fontId="0" fillId="0" borderId="0"/>
  </cellStyleXfs>
  <cellXfs count="20">
    <xf numFmtId="0" fontId="0" fillId="0" borderId="0" xfId="0"/>
    <xf numFmtId="0" fontId="2" fillId="0" borderId="0" xfId="0" applyFont="1"/>
    <xf numFmtId="0" fontId="2" fillId="0" borderId="0" xfId="0" applyFont="1" applyAlignment="1">
      <alignment wrapText="1"/>
    </xf>
    <xf numFmtId="14" fontId="0" fillId="0" borderId="0" xfId="0" applyNumberFormat="1"/>
    <xf numFmtId="20" fontId="0" fillId="0" borderId="0" xfId="0" applyNumberFormat="1"/>
    <xf numFmtId="0" fontId="0" fillId="0" borderId="0" xfId="0" applyAlignment="1">
      <alignment wrapText="1"/>
    </xf>
    <xf numFmtId="20" fontId="3" fillId="0" borderId="0" xfId="0" applyNumberFormat="1" applyFont="1"/>
    <xf numFmtId="0" fontId="3" fillId="0" borderId="0" xfId="0" applyFont="1"/>
    <xf numFmtId="0" fontId="1" fillId="0" borderId="0" xfId="0" applyFont="1" applyAlignment="1">
      <alignment wrapText="1"/>
    </xf>
    <xf numFmtId="0" fontId="1" fillId="2" borderId="0" xfId="0" applyFont="1" applyFill="1"/>
    <xf numFmtId="0" fontId="3" fillId="0" borderId="0" xfId="0" applyFont="1" applyAlignment="1">
      <alignment wrapText="1"/>
    </xf>
    <xf numFmtId="0" fontId="5" fillId="0" borderId="0" xfId="0" applyFont="1"/>
    <xf numFmtId="0" fontId="6" fillId="0" borderId="0" xfId="0" applyFont="1"/>
    <xf numFmtId="20" fontId="5" fillId="0" borderId="0" xfId="0" applyNumberFormat="1" applyFont="1"/>
    <xf numFmtId="0" fontId="0" fillId="2" borderId="0" xfId="0" applyFill="1"/>
    <xf numFmtId="0" fontId="0" fillId="3" borderId="0" xfId="0" applyFill="1"/>
    <xf numFmtId="20" fontId="3" fillId="2" borderId="0" xfId="0" applyNumberFormat="1" applyFont="1" applyFill="1"/>
    <xf numFmtId="0" fontId="3" fillId="2" borderId="0" xfId="0" applyFont="1" applyFill="1"/>
    <xf numFmtId="0" fontId="7" fillId="0" borderId="0" xfId="0" applyFon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1FB7DC-9A1A-DE44-905A-E04F84E1CF3A}">
  <dimension ref="A1:Y65"/>
  <sheetViews>
    <sheetView tabSelected="1" workbookViewId="0">
      <selection sqref="A1:XFD1048576"/>
    </sheetView>
  </sheetViews>
  <sheetFormatPr baseColWidth="10" defaultRowHeight="16" x14ac:dyDescent="0.2"/>
  <cols>
    <col min="2" max="2" width="21.1640625" customWidth="1"/>
    <col min="3" max="3" width="18.83203125" bestFit="1" customWidth="1"/>
    <col min="4" max="4" width="16.1640625" customWidth="1"/>
    <col min="15" max="16" width="21.33203125" customWidth="1"/>
  </cols>
  <sheetData>
    <row r="1" spans="1:25" ht="68" x14ac:dyDescent="0.2">
      <c r="A1" s="1" t="s">
        <v>0</v>
      </c>
      <c r="B1" s="1" t="s">
        <v>1</v>
      </c>
      <c r="C1" s="1" t="s">
        <v>2</v>
      </c>
      <c r="D1" s="1" t="s">
        <v>3</v>
      </c>
      <c r="E1" s="1" t="s">
        <v>4</v>
      </c>
      <c r="F1" s="2" t="s">
        <v>5</v>
      </c>
      <c r="G1" s="2" t="s">
        <v>6</v>
      </c>
      <c r="H1" s="2" t="s">
        <v>7</v>
      </c>
      <c r="I1" s="2" t="s">
        <v>8</v>
      </c>
      <c r="J1" s="2" t="s">
        <v>9</v>
      </c>
      <c r="K1" s="2" t="s">
        <v>10</v>
      </c>
      <c r="L1" s="2" t="s">
        <v>11</v>
      </c>
      <c r="M1" s="2" t="s">
        <v>12</v>
      </c>
      <c r="N1" s="2" t="s">
        <v>13</v>
      </c>
      <c r="O1" s="2" t="s">
        <v>14</v>
      </c>
      <c r="P1" s="2" t="s">
        <v>15</v>
      </c>
      <c r="Q1" s="2" t="s">
        <v>16</v>
      </c>
      <c r="Y1" t="s">
        <v>17</v>
      </c>
    </row>
    <row r="2" spans="1:25" ht="17" x14ac:dyDescent="0.2">
      <c r="A2" t="s">
        <v>18</v>
      </c>
      <c r="B2" t="s">
        <v>19</v>
      </c>
      <c r="C2" t="s">
        <v>20</v>
      </c>
      <c r="D2" s="3">
        <v>43700</v>
      </c>
      <c r="E2" s="4">
        <v>0.61111111111111116</v>
      </c>
      <c r="F2" s="5" t="s">
        <v>21</v>
      </c>
      <c r="G2" s="5">
        <v>104</v>
      </c>
      <c r="H2" s="5">
        <v>300</v>
      </c>
      <c r="I2" s="5"/>
      <c r="J2" s="5" t="s">
        <v>22</v>
      </c>
      <c r="K2" s="5"/>
      <c r="O2" t="s">
        <v>23</v>
      </c>
      <c r="Q2" t="s">
        <v>24</v>
      </c>
    </row>
    <row r="3" spans="1:25" ht="17" x14ac:dyDescent="0.2">
      <c r="A3" t="s">
        <v>18</v>
      </c>
      <c r="B3" t="s">
        <v>19</v>
      </c>
      <c r="C3" t="s">
        <v>20</v>
      </c>
      <c r="D3" s="3">
        <v>43701</v>
      </c>
      <c r="E3" s="4">
        <v>0.30208333333333331</v>
      </c>
      <c r="F3" s="5" t="s">
        <v>21</v>
      </c>
      <c r="G3" s="5">
        <v>52</v>
      </c>
      <c r="H3" s="5">
        <v>300</v>
      </c>
      <c r="I3" s="5"/>
      <c r="J3" s="5" t="s">
        <v>22</v>
      </c>
      <c r="K3" s="5"/>
      <c r="O3" t="s">
        <v>23</v>
      </c>
      <c r="Q3" t="s">
        <v>25</v>
      </c>
    </row>
    <row r="4" spans="1:25" x14ac:dyDescent="0.2">
      <c r="F4" s="5"/>
      <c r="G4" s="5"/>
      <c r="H4" s="5"/>
      <c r="I4" s="5"/>
      <c r="J4" s="5"/>
      <c r="K4" s="5"/>
    </row>
    <row r="5" spans="1:25" x14ac:dyDescent="0.2">
      <c r="F5" s="5"/>
      <c r="G5" s="5"/>
      <c r="H5" s="5"/>
      <c r="I5" s="5"/>
      <c r="J5" s="5"/>
      <c r="K5" s="5"/>
    </row>
    <row r="6" spans="1:25" ht="17" x14ac:dyDescent="0.2">
      <c r="A6" t="s">
        <v>18</v>
      </c>
      <c r="B6" t="s">
        <v>19</v>
      </c>
      <c r="C6" t="s">
        <v>20</v>
      </c>
      <c r="D6" s="3">
        <v>44467</v>
      </c>
      <c r="E6" s="4">
        <v>0.45277777777777778</v>
      </c>
      <c r="F6" s="5" t="s">
        <v>21</v>
      </c>
      <c r="G6" s="5">
        <v>20</v>
      </c>
      <c r="H6" s="5">
        <v>50</v>
      </c>
      <c r="I6" s="5"/>
      <c r="J6" s="5">
        <v>0.36176000000000003</v>
      </c>
      <c r="K6" s="5">
        <v>0.35391</v>
      </c>
      <c r="O6" t="s">
        <v>26</v>
      </c>
    </row>
    <row r="7" spans="1:25" ht="17" x14ac:dyDescent="0.2">
      <c r="A7" t="s">
        <v>18</v>
      </c>
      <c r="B7" t="s">
        <v>19</v>
      </c>
      <c r="C7" t="s">
        <v>20</v>
      </c>
      <c r="D7" s="3">
        <v>44467</v>
      </c>
      <c r="E7" s="4">
        <v>0.51388888888888884</v>
      </c>
      <c r="F7" s="5" t="s">
        <v>21</v>
      </c>
      <c r="G7" s="5">
        <v>25</v>
      </c>
      <c r="H7" s="5">
        <v>50</v>
      </c>
      <c r="I7" s="5"/>
      <c r="J7" s="5">
        <v>0.45865699999999998</v>
      </c>
      <c r="K7" s="5">
        <v>0.45893800000000001</v>
      </c>
      <c r="O7" t="s">
        <v>27</v>
      </c>
    </row>
    <row r="8" spans="1:25" ht="17" x14ac:dyDescent="0.2">
      <c r="A8" t="s">
        <v>18</v>
      </c>
      <c r="B8" t="s">
        <v>19</v>
      </c>
      <c r="C8" t="s">
        <v>20</v>
      </c>
      <c r="D8" s="3">
        <v>44467</v>
      </c>
      <c r="E8" s="4">
        <v>0.54861111111111116</v>
      </c>
      <c r="F8" s="5" t="s">
        <v>21</v>
      </c>
      <c r="G8" s="5">
        <v>40</v>
      </c>
      <c r="H8" s="5">
        <v>50</v>
      </c>
      <c r="I8" s="5"/>
      <c r="J8" s="5">
        <v>0.95194900000000005</v>
      </c>
      <c r="K8" s="5">
        <v>0.95079499999999995</v>
      </c>
    </row>
    <row r="9" spans="1:25" ht="17" x14ac:dyDescent="0.2">
      <c r="A9" t="s">
        <v>18</v>
      </c>
      <c r="B9" t="s">
        <v>19</v>
      </c>
      <c r="C9" t="s">
        <v>20</v>
      </c>
      <c r="D9" s="3">
        <v>44467</v>
      </c>
      <c r="E9" s="4">
        <v>0.58958333333333335</v>
      </c>
      <c r="F9" s="5" t="s">
        <v>21</v>
      </c>
      <c r="G9" s="5">
        <v>60</v>
      </c>
      <c r="H9" s="5">
        <v>50</v>
      </c>
      <c r="I9" s="5"/>
      <c r="J9" s="5">
        <v>1.5181739999999999</v>
      </c>
      <c r="K9" s="5">
        <v>1.430958</v>
      </c>
    </row>
    <row r="10" spans="1:25" ht="17" x14ac:dyDescent="0.2">
      <c r="A10" t="s">
        <v>18</v>
      </c>
      <c r="B10" t="s">
        <v>19</v>
      </c>
      <c r="C10" t="s">
        <v>20</v>
      </c>
      <c r="D10" s="3">
        <v>44467</v>
      </c>
      <c r="E10" s="6">
        <v>0.63194444444444442</v>
      </c>
      <c r="F10" s="5" t="s">
        <v>21</v>
      </c>
      <c r="G10" s="5">
        <v>120</v>
      </c>
      <c r="H10" s="5">
        <v>50</v>
      </c>
      <c r="I10" s="5"/>
      <c r="J10" s="5">
        <v>1.7124999999999999</v>
      </c>
      <c r="K10" s="5"/>
      <c r="O10" t="s">
        <v>28</v>
      </c>
      <c r="Q10" s="7" t="s">
        <v>29</v>
      </c>
    </row>
    <row r="11" spans="1:25" ht="17" x14ac:dyDescent="0.2">
      <c r="A11" t="s">
        <v>18</v>
      </c>
      <c r="B11" t="s">
        <v>19</v>
      </c>
      <c r="C11" t="s">
        <v>20</v>
      </c>
      <c r="D11" s="3">
        <v>44467</v>
      </c>
      <c r="E11" s="4">
        <v>0.66666666666666663</v>
      </c>
      <c r="F11" s="5" t="s">
        <v>21</v>
      </c>
      <c r="G11" s="5">
        <v>120</v>
      </c>
      <c r="H11" s="5">
        <v>50</v>
      </c>
      <c r="I11" s="5"/>
      <c r="J11" s="5">
        <v>1.51603</v>
      </c>
      <c r="K11" s="5">
        <v>1.5164</v>
      </c>
      <c r="Q11" t="s">
        <v>30</v>
      </c>
    </row>
    <row r="12" spans="1:25" x14ac:dyDescent="0.2">
      <c r="F12" s="5"/>
      <c r="G12" s="5"/>
      <c r="H12" s="5"/>
      <c r="I12" s="5"/>
      <c r="J12" s="5"/>
      <c r="K12" s="5"/>
    </row>
    <row r="13" spans="1:25" x14ac:dyDescent="0.2">
      <c r="F13" s="5"/>
      <c r="G13" s="5"/>
      <c r="H13" s="5"/>
      <c r="I13" s="5"/>
      <c r="J13" s="5"/>
      <c r="K13" s="5"/>
    </row>
    <row r="14" spans="1:25" ht="17" x14ac:dyDescent="0.2">
      <c r="A14" t="s">
        <v>18</v>
      </c>
      <c r="B14" t="s">
        <v>19</v>
      </c>
      <c r="C14" t="s">
        <v>20</v>
      </c>
      <c r="D14" s="3">
        <v>44790</v>
      </c>
      <c r="E14" s="4">
        <v>0.45833333333333331</v>
      </c>
      <c r="F14" s="5" t="s">
        <v>21</v>
      </c>
      <c r="G14" s="5">
        <v>20</v>
      </c>
      <c r="H14" s="5">
        <v>50</v>
      </c>
      <c r="I14" s="5"/>
      <c r="J14" s="8">
        <v>0.93</v>
      </c>
      <c r="K14" s="5"/>
      <c r="O14" t="s">
        <v>31</v>
      </c>
      <c r="P14">
        <v>3</v>
      </c>
      <c r="Q14" s="9" t="s">
        <v>32</v>
      </c>
    </row>
    <row r="15" spans="1:25" ht="17" x14ac:dyDescent="0.2">
      <c r="A15" t="s">
        <v>18</v>
      </c>
      <c r="B15" t="s">
        <v>19</v>
      </c>
      <c r="C15" t="s">
        <v>20</v>
      </c>
      <c r="D15" s="3">
        <v>44790</v>
      </c>
      <c r="E15" s="4">
        <v>0.46875</v>
      </c>
      <c r="F15" s="5" t="s">
        <v>21</v>
      </c>
      <c r="G15" s="5">
        <v>30</v>
      </c>
      <c r="H15" s="5">
        <v>50</v>
      </c>
      <c r="I15" s="5"/>
      <c r="J15" s="8">
        <v>0.85596000000000005</v>
      </c>
      <c r="K15" s="8">
        <v>0.85141999999999995</v>
      </c>
      <c r="P15">
        <v>3</v>
      </c>
      <c r="Q15" s="9"/>
    </row>
    <row r="16" spans="1:25" ht="17" x14ac:dyDescent="0.2">
      <c r="A16" t="s">
        <v>18</v>
      </c>
      <c r="B16" t="s">
        <v>19</v>
      </c>
      <c r="C16" t="s">
        <v>20</v>
      </c>
      <c r="D16" s="3">
        <v>44790</v>
      </c>
      <c r="E16" s="4">
        <v>0.61111111111111116</v>
      </c>
      <c r="F16" s="5" t="s">
        <v>21</v>
      </c>
      <c r="G16" s="5">
        <v>200</v>
      </c>
      <c r="H16" s="5">
        <v>50</v>
      </c>
      <c r="I16" s="5"/>
      <c r="J16" s="8">
        <v>1.4144399999999999</v>
      </c>
      <c r="K16" s="8"/>
      <c r="O16" t="s">
        <v>31</v>
      </c>
      <c r="P16">
        <v>3</v>
      </c>
      <c r="Q16" s="9" t="s">
        <v>33</v>
      </c>
    </row>
    <row r="17" spans="1:17" ht="17" x14ac:dyDescent="0.2">
      <c r="A17" t="s">
        <v>18</v>
      </c>
      <c r="B17" t="s">
        <v>19</v>
      </c>
      <c r="C17" t="s">
        <v>20</v>
      </c>
      <c r="D17" s="3">
        <v>44790</v>
      </c>
      <c r="E17" s="4">
        <v>0.625</v>
      </c>
      <c r="F17" s="5" t="s">
        <v>21</v>
      </c>
      <c r="G17" s="5">
        <v>400</v>
      </c>
      <c r="H17" s="5">
        <v>50</v>
      </c>
      <c r="I17" s="5"/>
      <c r="J17" s="8">
        <v>1.27929</v>
      </c>
      <c r="K17" s="8"/>
      <c r="P17">
        <v>3</v>
      </c>
      <c r="Q17" s="9" t="s">
        <v>34</v>
      </c>
    </row>
    <row r="18" spans="1:17" ht="17" x14ac:dyDescent="0.2">
      <c r="A18" t="s">
        <v>18</v>
      </c>
      <c r="B18" t="s">
        <v>19</v>
      </c>
      <c r="C18" t="s">
        <v>20</v>
      </c>
      <c r="D18" s="3">
        <v>44790</v>
      </c>
      <c r="E18" s="6">
        <v>0.66666666666666663</v>
      </c>
      <c r="F18" s="10" t="s">
        <v>21</v>
      </c>
      <c r="G18" s="10" t="s">
        <v>35</v>
      </c>
      <c r="H18" s="5" t="s">
        <v>35</v>
      </c>
      <c r="I18" s="5"/>
      <c r="J18" s="8"/>
      <c r="K18" s="8"/>
      <c r="Q18" s="9" t="s">
        <v>36</v>
      </c>
    </row>
    <row r="19" spans="1:17" ht="17" x14ac:dyDescent="0.2">
      <c r="A19" t="s">
        <v>18</v>
      </c>
      <c r="B19" t="s">
        <v>19</v>
      </c>
      <c r="C19" t="s">
        <v>20</v>
      </c>
      <c r="D19" s="3">
        <v>44790</v>
      </c>
      <c r="E19" s="4">
        <v>0.70833333333333337</v>
      </c>
      <c r="F19" s="5" t="s">
        <v>21</v>
      </c>
      <c r="G19" s="5">
        <v>300</v>
      </c>
      <c r="H19" s="5">
        <v>50</v>
      </c>
      <c r="I19" s="5"/>
      <c r="J19" s="8">
        <v>1.01911</v>
      </c>
      <c r="K19" s="8"/>
      <c r="O19" t="s">
        <v>31</v>
      </c>
      <c r="P19">
        <v>3</v>
      </c>
      <c r="Q19" s="9" t="s">
        <v>34</v>
      </c>
    </row>
    <row r="20" spans="1:17" ht="17" x14ac:dyDescent="0.2">
      <c r="A20" t="s">
        <v>18</v>
      </c>
      <c r="B20" t="s">
        <v>19</v>
      </c>
      <c r="C20" t="s">
        <v>20</v>
      </c>
      <c r="D20" s="3">
        <v>44790</v>
      </c>
      <c r="E20" s="4">
        <v>0.79166666666666663</v>
      </c>
      <c r="F20" s="5" t="s">
        <v>21</v>
      </c>
      <c r="G20" s="5">
        <v>300</v>
      </c>
      <c r="H20" s="5">
        <v>50</v>
      </c>
      <c r="I20" s="5"/>
      <c r="J20" s="8">
        <v>0.53432999999999997</v>
      </c>
      <c r="K20" s="8"/>
      <c r="O20" t="s">
        <v>31</v>
      </c>
      <c r="P20">
        <v>3</v>
      </c>
      <c r="Q20" s="9"/>
    </row>
    <row r="21" spans="1:17" ht="17" x14ac:dyDescent="0.2">
      <c r="A21" t="s">
        <v>18</v>
      </c>
      <c r="B21" t="s">
        <v>19</v>
      </c>
      <c r="C21" t="s">
        <v>20</v>
      </c>
      <c r="D21" s="3">
        <v>44791</v>
      </c>
      <c r="E21" s="4">
        <v>0.375</v>
      </c>
      <c r="F21" s="5" t="s">
        <v>21</v>
      </c>
      <c r="G21" s="5">
        <v>100</v>
      </c>
      <c r="H21" s="5">
        <v>50</v>
      </c>
      <c r="I21" s="5"/>
      <c r="J21" s="8">
        <v>0.34662999999999999</v>
      </c>
      <c r="K21" s="8"/>
      <c r="O21" t="s">
        <v>31</v>
      </c>
      <c r="P21">
        <v>3</v>
      </c>
      <c r="Q21" s="9"/>
    </row>
    <row r="22" spans="1:17" x14ac:dyDescent="0.2">
      <c r="F22" s="5"/>
      <c r="G22" s="5"/>
      <c r="H22" s="5"/>
      <c r="I22" s="5"/>
      <c r="J22" s="5"/>
      <c r="K22" s="5"/>
    </row>
    <row r="23" spans="1:17" x14ac:dyDescent="0.2">
      <c r="F23" s="5"/>
      <c r="G23" s="5"/>
      <c r="H23" s="5"/>
      <c r="I23" s="5"/>
      <c r="J23" s="5"/>
      <c r="K23" s="5"/>
    </row>
    <row r="24" spans="1:17" x14ac:dyDescent="0.2">
      <c r="A24" t="s">
        <v>18</v>
      </c>
      <c r="B24" t="s">
        <v>37</v>
      </c>
      <c r="C24" t="s">
        <v>38</v>
      </c>
      <c r="D24" s="3">
        <v>45120</v>
      </c>
      <c r="E24" s="4">
        <v>0.40972222222222227</v>
      </c>
      <c r="F24" t="s">
        <v>21</v>
      </c>
      <c r="G24">
        <v>20</v>
      </c>
      <c r="H24">
        <v>50</v>
      </c>
      <c r="J24" s="11">
        <v>0.31516</v>
      </c>
      <c r="K24" s="11">
        <v>0.30848999999999999</v>
      </c>
      <c r="L24" s="11"/>
      <c r="M24" s="11"/>
      <c r="N24" s="11"/>
    </row>
    <row r="25" spans="1:17" x14ac:dyDescent="0.2">
      <c r="A25" t="s">
        <v>18</v>
      </c>
      <c r="B25" t="s">
        <v>37</v>
      </c>
      <c r="C25" t="s">
        <v>38</v>
      </c>
      <c r="D25" s="3">
        <v>45120</v>
      </c>
      <c r="E25" s="4">
        <v>0.43055555555555558</v>
      </c>
      <c r="F25" t="s">
        <v>21</v>
      </c>
      <c r="G25">
        <v>50</v>
      </c>
      <c r="H25">
        <v>50</v>
      </c>
      <c r="I25">
        <v>15</v>
      </c>
      <c r="J25" s="11">
        <v>1.61693</v>
      </c>
      <c r="K25" s="11">
        <v>1.4895400000000001</v>
      </c>
      <c r="L25" s="11"/>
      <c r="M25" s="11"/>
      <c r="N25" s="11"/>
      <c r="Q25" t="s">
        <v>39</v>
      </c>
    </row>
    <row r="26" spans="1:17" x14ac:dyDescent="0.2">
      <c r="A26" t="s">
        <v>18</v>
      </c>
      <c r="B26" t="s">
        <v>37</v>
      </c>
      <c r="C26" t="s">
        <v>38</v>
      </c>
      <c r="D26" s="3">
        <v>45120</v>
      </c>
      <c r="E26" s="4">
        <v>0.45833333333333331</v>
      </c>
      <c r="F26" t="s">
        <v>21</v>
      </c>
      <c r="G26">
        <v>100</v>
      </c>
      <c r="H26">
        <v>50</v>
      </c>
      <c r="J26" s="11">
        <v>2.7448199999999998</v>
      </c>
      <c r="K26" s="11">
        <v>2.7368999999999999</v>
      </c>
      <c r="L26" s="11"/>
      <c r="M26" s="11"/>
      <c r="N26" s="11"/>
      <c r="Q26" t="s">
        <v>40</v>
      </c>
    </row>
    <row r="27" spans="1:17" x14ac:dyDescent="0.2">
      <c r="A27" t="s">
        <v>18</v>
      </c>
      <c r="B27" t="s">
        <v>37</v>
      </c>
      <c r="C27" t="s">
        <v>38</v>
      </c>
      <c r="D27" s="3">
        <v>45120</v>
      </c>
      <c r="E27" s="4">
        <v>0.46527777777777773</v>
      </c>
      <c r="F27" t="s">
        <v>21</v>
      </c>
      <c r="G27">
        <v>200</v>
      </c>
      <c r="H27">
        <v>50</v>
      </c>
      <c r="J27" s="11">
        <v>2.3185899999999999</v>
      </c>
      <c r="K27" s="11">
        <v>2.3147099999999998</v>
      </c>
      <c r="L27" s="11"/>
      <c r="M27" s="11"/>
      <c r="N27" s="11"/>
      <c r="Q27" t="s">
        <v>41</v>
      </c>
    </row>
    <row r="28" spans="1:17" x14ac:dyDescent="0.2">
      <c r="J28" s="11"/>
      <c r="K28" s="11"/>
      <c r="L28" s="11"/>
      <c r="M28" s="11"/>
      <c r="N28" s="11"/>
    </row>
    <row r="29" spans="1:17" x14ac:dyDescent="0.2">
      <c r="J29" s="11"/>
      <c r="K29" s="11"/>
      <c r="L29" s="11"/>
      <c r="M29" s="11"/>
      <c r="N29" s="11"/>
    </row>
    <row r="30" spans="1:17" x14ac:dyDescent="0.2">
      <c r="A30" t="s">
        <v>18</v>
      </c>
      <c r="B30" t="s">
        <v>42</v>
      </c>
      <c r="C30" t="s">
        <v>38</v>
      </c>
      <c r="D30" s="3">
        <v>45524</v>
      </c>
      <c r="E30" s="4">
        <v>0.375</v>
      </c>
      <c r="F30" t="s">
        <v>21</v>
      </c>
      <c r="G30">
        <v>50</v>
      </c>
      <c r="H30">
        <v>50</v>
      </c>
      <c r="J30" s="11">
        <v>1.2239500000000001</v>
      </c>
      <c r="K30" s="11">
        <v>1.22194</v>
      </c>
      <c r="L30" s="11"/>
      <c r="M30" s="11"/>
      <c r="N30" s="11"/>
      <c r="O30" t="s">
        <v>43</v>
      </c>
    </row>
    <row r="31" spans="1:17" x14ac:dyDescent="0.2">
      <c r="A31" t="s">
        <v>18</v>
      </c>
      <c r="B31" t="s">
        <v>42</v>
      </c>
      <c r="C31" t="s">
        <v>38</v>
      </c>
      <c r="D31" s="3">
        <v>45524</v>
      </c>
      <c r="E31" s="4">
        <v>0.39791666666666664</v>
      </c>
      <c r="F31" t="s">
        <v>21</v>
      </c>
      <c r="G31">
        <v>26.5</v>
      </c>
      <c r="H31">
        <v>50</v>
      </c>
      <c r="J31" s="11">
        <v>1.31952</v>
      </c>
      <c r="K31" s="11"/>
      <c r="L31" s="12">
        <v>1.22323</v>
      </c>
      <c r="M31" s="11"/>
      <c r="N31" s="11"/>
      <c r="Q31" s="12" t="s">
        <v>44</v>
      </c>
    </row>
    <row r="32" spans="1:17" x14ac:dyDescent="0.2">
      <c r="A32" t="s">
        <v>18</v>
      </c>
      <c r="B32" t="s">
        <v>42</v>
      </c>
      <c r="C32" t="s">
        <v>38</v>
      </c>
      <c r="D32" s="3">
        <v>45524</v>
      </c>
      <c r="E32" s="4">
        <v>0.41666666666666669</v>
      </c>
      <c r="F32" t="s">
        <v>21</v>
      </c>
      <c r="G32">
        <v>25</v>
      </c>
      <c r="H32">
        <v>50</v>
      </c>
      <c r="J32" s="11">
        <v>1.4431099999999999</v>
      </c>
      <c r="K32" s="11"/>
      <c r="L32" s="11"/>
      <c r="M32" s="11"/>
      <c r="N32" s="11"/>
    </row>
    <row r="33" spans="1:17" x14ac:dyDescent="0.2">
      <c r="A33" t="s">
        <v>18</v>
      </c>
      <c r="B33" t="s">
        <v>42</v>
      </c>
      <c r="C33" t="s">
        <v>38</v>
      </c>
      <c r="D33" s="3">
        <v>45524</v>
      </c>
      <c r="E33" s="13">
        <v>0.4375</v>
      </c>
      <c r="F33" t="s">
        <v>21</v>
      </c>
      <c r="G33">
        <v>41</v>
      </c>
      <c r="H33">
        <v>50</v>
      </c>
      <c r="J33" s="11">
        <v>2.77603</v>
      </c>
      <c r="K33" s="14">
        <v>2.2905700000000002</v>
      </c>
      <c r="L33" s="11"/>
      <c r="M33" s="11"/>
      <c r="N33" s="11"/>
      <c r="Q33" s="7"/>
    </row>
    <row r="34" spans="1:17" x14ac:dyDescent="0.2">
      <c r="A34" t="s">
        <v>18</v>
      </c>
      <c r="B34" t="s">
        <v>42</v>
      </c>
      <c r="C34" t="s">
        <v>38</v>
      </c>
      <c r="D34" s="3">
        <v>45524</v>
      </c>
      <c r="E34" s="4">
        <v>0.46041666666666664</v>
      </c>
      <c r="F34" t="s">
        <v>21</v>
      </c>
      <c r="G34">
        <v>31</v>
      </c>
      <c r="H34">
        <v>50</v>
      </c>
      <c r="J34" s="11">
        <v>2.3113800000000002</v>
      </c>
      <c r="K34" s="11"/>
      <c r="L34" s="11"/>
      <c r="M34" s="11"/>
      <c r="N34" s="11"/>
      <c r="O34" t="s">
        <v>45</v>
      </c>
    </row>
    <row r="35" spans="1:17" x14ac:dyDescent="0.2">
      <c r="A35" t="s">
        <v>18</v>
      </c>
      <c r="B35" t="s">
        <v>42</v>
      </c>
      <c r="C35" t="s">
        <v>38</v>
      </c>
      <c r="D35" s="3">
        <v>45524</v>
      </c>
      <c r="E35" s="4">
        <v>0.49652777777777779</v>
      </c>
      <c r="F35" t="s">
        <v>21</v>
      </c>
      <c r="G35">
        <v>41</v>
      </c>
      <c r="H35">
        <v>50</v>
      </c>
      <c r="J35">
        <v>4.9112999999999998</v>
      </c>
      <c r="K35" s="14">
        <v>3.6379600000000001</v>
      </c>
      <c r="Q35" s="7" t="s">
        <v>46</v>
      </c>
    </row>
    <row r="36" spans="1:17" x14ac:dyDescent="0.2">
      <c r="A36" t="s">
        <v>18</v>
      </c>
      <c r="B36" t="s">
        <v>42</v>
      </c>
      <c r="C36" t="s">
        <v>38</v>
      </c>
      <c r="D36" s="3">
        <v>45524</v>
      </c>
      <c r="E36" s="4">
        <v>0.51041666666666663</v>
      </c>
      <c r="F36" t="s">
        <v>21</v>
      </c>
      <c r="G36">
        <v>52</v>
      </c>
      <c r="H36">
        <v>50</v>
      </c>
      <c r="J36" s="15">
        <v>7.8648300000000004</v>
      </c>
      <c r="K36" s="14">
        <v>4.5999999999999996</v>
      </c>
      <c r="Q36" s="7" t="s">
        <v>47</v>
      </c>
    </row>
    <row r="37" spans="1:17" x14ac:dyDescent="0.2">
      <c r="A37" t="s">
        <v>18</v>
      </c>
      <c r="B37" t="s">
        <v>42</v>
      </c>
      <c r="C37" t="s">
        <v>38</v>
      </c>
      <c r="D37" s="3">
        <v>45524</v>
      </c>
      <c r="E37" s="16">
        <v>0.54513888888888884</v>
      </c>
      <c r="F37" t="s">
        <v>21</v>
      </c>
      <c r="G37">
        <v>54</v>
      </c>
      <c r="H37">
        <v>50</v>
      </c>
      <c r="O37" s="15" t="s">
        <v>48</v>
      </c>
      <c r="P37" s="15"/>
      <c r="Q37" s="17" t="s">
        <v>49</v>
      </c>
    </row>
    <row r="38" spans="1:17" x14ac:dyDescent="0.2">
      <c r="A38" t="s">
        <v>18</v>
      </c>
      <c r="B38" t="s">
        <v>42</v>
      </c>
      <c r="C38" t="s">
        <v>38</v>
      </c>
      <c r="D38" s="3">
        <v>45524</v>
      </c>
      <c r="E38" s="4">
        <v>0.55555555555555558</v>
      </c>
      <c r="F38" t="s">
        <v>21</v>
      </c>
      <c r="G38">
        <v>56.5</v>
      </c>
      <c r="H38">
        <v>50</v>
      </c>
      <c r="J38" s="14">
        <v>4.4429299999999996</v>
      </c>
      <c r="O38" t="s">
        <v>48</v>
      </c>
      <c r="Q38" s="18" t="s">
        <v>50</v>
      </c>
    </row>
    <row r="39" spans="1:17" x14ac:dyDescent="0.2">
      <c r="A39" t="s">
        <v>18</v>
      </c>
      <c r="B39" t="s">
        <v>42</v>
      </c>
      <c r="C39" t="s">
        <v>38</v>
      </c>
      <c r="D39" s="3">
        <v>45524</v>
      </c>
      <c r="E39" s="16">
        <v>0.58680555555555558</v>
      </c>
      <c r="F39" t="s">
        <v>21</v>
      </c>
      <c r="G39" t="s">
        <v>35</v>
      </c>
      <c r="H39" t="s">
        <v>35</v>
      </c>
      <c r="Q39" s="7" t="s">
        <v>51</v>
      </c>
    </row>
    <row r="40" spans="1:17" x14ac:dyDescent="0.2">
      <c r="A40" t="s">
        <v>18</v>
      </c>
      <c r="B40" t="s">
        <v>42</v>
      </c>
      <c r="C40" t="s">
        <v>38</v>
      </c>
      <c r="D40" s="3">
        <v>45524</v>
      </c>
      <c r="E40" s="4">
        <v>0.59583333333333333</v>
      </c>
      <c r="F40" t="s">
        <v>21</v>
      </c>
      <c r="G40">
        <v>100</v>
      </c>
      <c r="H40">
        <v>50</v>
      </c>
      <c r="J40" s="14">
        <v>5.6324199999999998</v>
      </c>
      <c r="K40" t="s">
        <v>52</v>
      </c>
      <c r="Q40" s="15" t="s">
        <v>53</v>
      </c>
    </row>
    <row r="41" spans="1:17" x14ac:dyDescent="0.2">
      <c r="A41" t="s">
        <v>18</v>
      </c>
      <c r="B41" t="s">
        <v>54</v>
      </c>
      <c r="C41" t="s">
        <v>38</v>
      </c>
      <c r="D41" s="3">
        <v>45524</v>
      </c>
      <c r="E41" s="4">
        <v>0.63194444444444442</v>
      </c>
      <c r="F41" t="s">
        <v>21</v>
      </c>
      <c r="G41">
        <v>200</v>
      </c>
      <c r="H41" s="19">
        <v>50</v>
      </c>
      <c r="J41">
        <v>6.1113600000000003</v>
      </c>
      <c r="K41" t="s">
        <v>52</v>
      </c>
      <c r="Q41" s="19" t="s">
        <v>55</v>
      </c>
    </row>
    <row r="42" spans="1:17" x14ac:dyDescent="0.2">
      <c r="A42" t="s">
        <v>18</v>
      </c>
      <c r="B42" t="s">
        <v>54</v>
      </c>
      <c r="C42" t="s">
        <v>38</v>
      </c>
      <c r="D42" s="3">
        <v>45524</v>
      </c>
      <c r="E42" s="4">
        <v>0.66666666666666663</v>
      </c>
      <c r="F42" t="s">
        <v>21</v>
      </c>
      <c r="G42">
        <v>200</v>
      </c>
      <c r="H42" s="19">
        <v>50</v>
      </c>
      <c r="J42" s="15">
        <v>2.3765800000000001</v>
      </c>
      <c r="O42" t="s">
        <v>45</v>
      </c>
      <c r="Q42" s="19" t="s">
        <v>56</v>
      </c>
    </row>
    <row r="43" spans="1:17" x14ac:dyDescent="0.2">
      <c r="A43" t="s">
        <v>18</v>
      </c>
      <c r="B43" t="s">
        <v>54</v>
      </c>
      <c r="C43" t="s">
        <v>38</v>
      </c>
      <c r="D43" s="3">
        <v>45524</v>
      </c>
      <c r="E43" s="4">
        <v>0.69305555555555554</v>
      </c>
      <c r="F43" t="s">
        <v>21</v>
      </c>
      <c r="G43">
        <v>200</v>
      </c>
      <c r="H43" s="19">
        <v>50</v>
      </c>
      <c r="J43" s="15">
        <v>1.89829</v>
      </c>
      <c r="Q43" t="s">
        <v>57</v>
      </c>
    </row>
    <row r="44" spans="1:17" x14ac:dyDescent="0.2">
      <c r="A44" t="s">
        <v>18</v>
      </c>
      <c r="B44" s="11" t="s">
        <v>54</v>
      </c>
      <c r="C44" t="s">
        <v>38</v>
      </c>
      <c r="D44" s="3">
        <v>45525</v>
      </c>
      <c r="E44" s="4">
        <v>0.26041666666666669</v>
      </c>
      <c r="F44" t="s">
        <v>21</v>
      </c>
      <c r="G44">
        <v>150</v>
      </c>
      <c r="H44" s="19">
        <v>50</v>
      </c>
      <c r="I44">
        <v>35</v>
      </c>
      <c r="J44">
        <v>1.19181</v>
      </c>
      <c r="O44" t="s">
        <v>58</v>
      </c>
      <c r="Q44" s="7" t="s">
        <v>59</v>
      </c>
    </row>
    <row r="45" spans="1:17" x14ac:dyDescent="0.2">
      <c r="A45" t="s">
        <v>18</v>
      </c>
      <c r="B45" s="11" t="s">
        <v>54</v>
      </c>
      <c r="C45" t="s">
        <v>38</v>
      </c>
      <c r="D45" s="3">
        <v>45525</v>
      </c>
      <c r="E45" s="4">
        <v>0.27083333333333331</v>
      </c>
      <c r="F45" t="s">
        <v>21</v>
      </c>
      <c r="G45">
        <v>70</v>
      </c>
      <c r="H45" s="19">
        <v>50</v>
      </c>
      <c r="I45">
        <v>16</v>
      </c>
      <c r="J45">
        <v>1.19774</v>
      </c>
    </row>
    <row r="46" spans="1:17" x14ac:dyDescent="0.2">
      <c r="A46" t="s">
        <v>18</v>
      </c>
      <c r="B46" s="11" t="s">
        <v>54</v>
      </c>
      <c r="C46" t="s">
        <v>38</v>
      </c>
      <c r="D46" s="3">
        <v>45525</v>
      </c>
      <c r="E46" s="4">
        <v>0.29166666666666669</v>
      </c>
      <c r="F46" t="s">
        <v>21</v>
      </c>
      <c r="G46">
        <v>70</v>
      </c>
      <c r="H46" s="19">
        <v>50</v>
      </c>
      <c r="I46">
        <v>16</v>
      </c>
      <c r="J46">
        <v>1.31738</v>
      </c>
    </row>
    <row r="47" spans="1:17" x14ac:dyDescent="0.2">
      <c r="A47" t="s">
        <v>18</v>
      </c>
      <c r="B47" s="11" t="s">
        <v>54</v>
      </c>
      <c r="C47" t="s">
        <v>38</v>
      </c>
      <c r="D47" s="3">
        <v>45525</v>
      </c>
      <c r="E47" s="4">
        <v>0.3125</v>
      </c>
      <c r="F47" t="s">
        <v>21</v>
      </c>
      <c r="G47">
        <v>70</v>
      </c>
      <c r="H47" s="19">
        <v>50</v>
      </c>
      <c r="I47">
        <v>16</v>
      </c>
      <c r="J47">
        <v>1.28894</v>
      </c>
    </row>
    <row r="48" spans="1:17" x14ac:dyDescent="0.2">
      <c r="D48" s="3"/>
    </row>
    <row r="50" spans="1:17" x14ac:dyDescent="0.2">
      <c r="A50" t="s">
        <v>18</v>
      </c>
      <c r="B50" s="11" t="s">
        <v>54</v>
      </c>
      <c r="C50" t="s">
        <v>38</v>
      </c>
      <c r="D50" s="3">
        <v>45882</v>
      </c>
      <c r="E50" s="4">
        <v>0.50347222222222221</v>
      </c>
      <c r="F50" t="s">
        <v>60</v>
      </c>
      <c r="J50">
        <v>1.8099000000000001</v>
      </c>
      <c r="N50">
        <v>32.06</v>
      </c>
      <c r="Q50" t="s">
        <v>61</v>
      </c>
    </row>
    <row r="51" spans="1:17" x14ac:dyDescent="0.2">
      <c r="A51" t="s">
        <v>18</v>
      </c>
      <c r="B51" s="11" t="s">
        <v>54</v>
      </c>
      <c r="C51" t="s">
        <v>38</v>
      </c>
      <c r="D51" s="3">
        <v>45882</v>
      </c>
      <c r="E51" s="4">
        <v>0.53333333333333333</v>
      </c>
      <c r="F51" t="s">
        <v>60</v>
      </c>
      <c r="J51" s="19">
        <v>3.4077000000000002</v>
      </c>
      <c r="K51" s="19">
        <v>3.2393000000000001</v>
      </c>
      <c r="N51">
        <v>14.83</v>
      </c>
    </row>
    <row r="52" spans="1:17" x14ac:dyDescent="0.2">
      <c r="A52" t="s">
        <v>18</v>
      </c>
      <c r="B52" s="11" t="s">
        <v>54</v>
      </c>
      <c r="C52" t="s">
        <v>38</v>
      </c>
      <c r="D52" s="3">
        <v>45882</v>
      </c>
      <c r="E52" s="4">
        <v>0.6069444444444444</v>
      </c>
      <c r="F52" t="s">
        <v>60</v>
      </c>
      <c r="J52" s="19">
        <v>1.9315</v>
      </c>
      <c r="K52" s="19">
        <v>1.9319999999999999</v>
      </c>
      <c r="N52">
        <v>10.75</v>
      </c>
    </row>
    <row r="53" spans="1:17" x14ac:dyDescent="0.2">
      <c r="A53" t="s">
        <v>18</v>
      </c>
      <c r="B53" s="11" t="s">
        <v>54</v>
      </c>
      <c r="C53" t="s">
        <v>38</v>
      </c>
      <c r="D53" s="3">
        <v>45882</v>
      </c>
      <c r="E53" s="4">
        <v>0.64583333333333337</v>
      </c>
      <c r="F53" t="s">
        <v>60</v>
      </c>
      <c r="J53">
        <v>2.4969000000000001</v>
      </c>
      <c r="K53">
        <v>2.6659999999999999</v>
      </c>
      <c r="N53">
        <v>17.78</v>
      </c>
      <c r="Q53" t="s">
        <v>62</v>
      </c>
    </row>
    <row r="54" spans="1:17" x14ac:dyDescent="0.2">
      <c r="A54" t="s">
        <v>18</v>
      </c>
      <c r="B54" s="11" t="s">
        <v>54</v>
      </c>
      <c r="C54" t="s">
        <v>38</v>
      </c>
      <c r="D54" s="3">
        <v>45882</v>
      </c>
      <c r="E54" s="4">
        <v>0.67986111111111114</v>
      </c>
      <c r="F54" t="s">
        <v>60</v>
      </c>
      <c r="J54">
        <v>3.0043000000000002</v>
      </c>
      <c r="K54">
        <v>3.1597</v>
      </c>
      <c r="N54">
        <v>17.71</v>
      </c>
    </row>
    <row r="55" spans="1:17" x14ac:dyDescent="0.2">
      <c r="A55" t="s">
        <v>18</v>
      </c>
      <c r="B55" s="11" t="s">
        <v>54</v>
      </c>
      <c r="C55" t="s">
        <v>38</v>
      </c>
      <c r="D55" s="3">
        <v>45883</v>
      </c>
      <c r="E55" s="4">
        <v>0.29166666666666669</v>
      </c>
      <c r="F55" t="s">
        <v>60</v>
      </c>
      <c r="J55">
        <v>1.0054000000000001</v>
      </c>
      <c r="K55">
        <v>1.0123</v>
      </c>
      <c r="N55">
        <v>7.15</v>
      </c>
    </row>
    <row r="56" spans="1:17" x14ac:dyDescent="0.2">
      <c r="A56" t="s">
        <v>18</v>
      </c>
      <c r="B56" s="11" t="s">
        <v>54</v>
      </c>
      <c r="C56" t="s">
        <v>38</v>
      </c>
      <c r="D56" s="3">
        <v>45883</v>
      </c>
      <c r="E56" s="4">
        <v>0.30625000000000002</v>
      </c>
      <c r="F56" t="s">
        <v>60</v>
      </c>
      <c r="J56">
        <v>1.0317000000000001</v>
      </c>
      <c r="K56">
        <v>1.0137</v>
      </c>
      <c r="N56">
        <v>7.64</v>
      </c>
    </row>
    <row r="57" spans="1:17" x14ac:dyDescent="0.2">
      <c r="A57" t="s">
        <v>18</v>
      </c>
      <c r="B57" s="11" t="s">
        <v>54</v>
      </c>
      <c r="C57" t="s">
        <v>38</v>
      </c>
      <c r="D57" s="3">
        <v>45883</v>
      </c>
      <c r="E57" s="4">
        <v>0.33333333333333331</v>
      </c>
      <c r="F57" t="s">
        <v>60</v>
      </c>
      <c r="J57">
        <v>1.0076000000000001</v>
      </c>
      <c r="K57">
        <v>0.10033</v>
      </c>
      <c r="N57">
        <v>7.33</v>
      </c>
    </row>
    <row r="58" spans="1:17" x14ac:dyDescent="0.2">
      <c r="A58" t="s">
        <v>18</v>
      </c>
      <c r="B58" s="11" t="s">
        <v>54</v>
      </c>
      <c r="C58" t="s">
        <v>38</v>
      </c>
      <c r="D58" s="3">
        <v>45883</v>
      </c>
      <c r="E58" s="4">
        <v>0.37083333333333335</v>
      </c>
      <c r="F58" t="s">
        <v>60</v>
      </c>
      <c r="J58">
        <v>1.0564</v>
      </c>
      <c r="K58">
        <v>1.0639000000000001</v>
      </c>
      <c r="N58">
        <v>11.44</v>
      </c>
    </row>
    <row r="59" spans="1:17" x14ac:dyDescent="0.2">
      <c r="A59" t="s">
        <v>18</v>
      </c>
      <c r="B59" s="11" t="s">
        <v>54</v>
      </c>
      <c r="C59" t="s">
        <v>38</v>
      </c>
      <c r="D59" s="3">
        <v>45883</v>
      </c>
      <c r="E59" s="4">
        <v>0.39305555555555555</v>
      </c>
      <c r="F59" t="s">
        <v>60</v>
      </c>
      <c r="J59">
        <v>1.4342999999999999</v>
      </c>
      <c r="K59">
        <v>1.4376</v>
      </c>
      <c r="N59">
        <v>18.399999999999999</v>
      </c>
      <c r="Q59" t="s">
        <v>63</v>
      </c>
    </row>
    <row r="60" spans="1:17" x14ac:dyDescent="0.2">
      <c r="A60" t="s">
        <v>18</v>
      </c>
      <c r="B60" s="11" t="s">
        <v>54</v>
      </c>
      <c r="C60" t="s">
        <v>38</v>
      </c>
      <c r="D60" s="3">
        <v>45883</v>
      </c>
      <c r="E60" s="4">
        <v>0.4201388888888889</v>
      </c>
      <c r="F60" t="s">
        <v>60</v>
      </c>
      <c r="J60">
        <v>1.7153</v>
      </c>
      <c r="K60">
        <v>1.633</v>
      </c>
      <c r="N60">
        <v>12.38</v>
      </c>
    </row>
    <row r="61" spans="1:17" x14ac:dyDescent="0.2">
      <c r="A61" t="s">
        <v>18</v>
      </c>
      <c r="B61" s="11" t="s">
        <v>54</v>
      </c>
      <c r="C61" t="s">
        <v>38</v>
      </c>
      <c r="D61" s="3">
        <v>45883</v>
      </c>
      <c r="E61" s="4">
        <v>0.4513888888888889</v>
      </c>
      <c r="F61" t="s">
        <v>60</v>
      </c>
      <c r="J61">
        <v>2.1415999999999999</v>
      </c>
      <c r="K61">
        <v>2.1173999999999999</v>
      </c>
      <c r="N61">
        <v>8.6300000000000008</v>
      </c>
    </row>
    <row r="62" spans="1:17" x14ac:dyDescent="0.2">
      <c r="A62" t="s">
        <v>18</v>
      </c>
      <c r="B62" s="11" t="s">
        <v>54</v>
      </c>
      <c r="C62" t="s">
        <v>38</v>
      </c>
      <c r="D62" s="3">
        <v>45883</v>
      </c>
      <c r="E62" s="4">
        <v>0.48194444444444445</v>
      </c>
      <c r="F62" t="s">
        <v>60</v>
      </c>
      <c r="J62">
        <v>2.6158999999999999</v>
      </c>
      <c r="K62">
        <v>2.6724000000000001</v>
      </c>
      <c r="N62">
        <v>12.19</v>
      </c>
    </row>
    <row r="63" spans="1:17" x14ac:dyDescent="0.2">
      <c r="A63" t="s">
        <v>18</v>
      </c>
      <c r="B63" s="11" t="s">
        <v>54</v>
      </c>
      <c r="C63" t="s">
        <v>38</v>
      </c>
      <c r="D63" s="3">
        <v>45883</v>
      </c>
      <c r="E63" s="4">
        <v>0.65</v>
      </c>
      <c r="F63" t="s">
        <v>60</v>
      </c>
      <c r="J63">
        <v>2.4298000000000002</v>
      </c>
      <c r="K63">
        <v>2.3342000000000001</v>
      </c>
      <c r="N63">
        <v>11.63</v>
      </c>
    </row>
    <row r="64" spans="1:17" x14ac:dyDescent="0.2">
      <c r="A64" t="s">
        <v>18</v>
      </c>
      <c r="B64" s="11" t="s">
        <v>54</v>
      </c>
      <c r="C64" t="s">
        <v>38</v>
      </c>
      <c r="D64" s="3">
        <v>45883</v>
      </c>
      <c r="E64" s="4">
        <v>0.67152777777777772</v>
      </c>
      <c r="F64" t="s">
        <v>60</v>
      </c>
      <c r="J64">
        <v>2.5676999999999999</v>
      </c>
      <c r="K64">
        <v>2.4691999999999998</v>
      </c>
      <c r="N64">
        <v>11.51</v>
      </c>
    </row>
    <row r="65" spans="1:17" x14ac:dyDescent="0.2">
      <c r="A65" t="s">
        <v>18</v>
      </c>
      <c r="B65" s="11" t="s">
        <v>54</v>
      </c>
      <c r="C65" t="s">
        <v>38</v>
      </c>
      <c r="D65" s="3">
        <v>45883</v>
      </c>
      <c r="E65" s="4">
        <v>0.69722222222222219</v>
      </c>
      <c r="F65" t="s">
        <v>60</v>
      </c>
      <c r="J65">
        <v>2.6688000000000001</v>
      </c>
      <c r="K65">
        <v>2.6941000000000002</v>
      </c>
      <c r="N65">
        <v>119.47</v>
      </c>
      <c r="Q65" t="s">
        <v>64</v>
      </c>
    </row>
  </sheetData>
  <conditionalFormatting sqref="D2:D47">
    <cfRule type="colorScale" priority="1">
      <colorScale>
        <cfvo type="min"/>
        <cfvo type="percentile" val="50"/>
        <cfvo type="max"/>
        <color rgb="FF63BE7B"/>
        <color rgb="FFFFEB84"/>
        <color rgb="FFF8696B"/>
      </colorScale>
    </cfRule>
  </conditionalFormatting>
  <conditionalFormatting sqref="F24:F27 G39:H39 F30:F47">
    <cfRule type="colorScale" priority="4">
      <colorScale>
        <cfvo type="min"/>
        <cfvo type="max"/>
        <color rgb="FFFFEF9C"/>
        <color rgb="FF63BE7B"/>
      </colorScale>
    </cfRule>
  </conditionalFormatting>
  <conditionalFormatting sqref="J24:J27">
    <cfRule type="colorScale" priority="3">
      <colorScale>
        <cfvo type="min"/>
        <cfvo type="percentile" val="50"/>
        <cfvo type="max"/>
        <color theme="7" tint="0.79998168889431442"/>
        <color rgb="FFFFC000"/>
        <color rgb="FFFF0000"/>
      </colorScale>
    </cfRule>
  </conditionalFormatting>
  <conditionalFormatting sqref="K24:L27">
    <cfRule type="colorScale" priority="2">
      <colorScale>
        <cfvo type="min"/>
        <cfvo type="percentile" val="50"/>
        <cfvo type="max"/>
        <color theme="7" tint="0.79998168889431442"/>
        <color rgb="FFFFC000"/>
        <color rgb="FFFF0000"/>
      </colorScale>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POHL Eric</dc:creator>
  <cp:lastModifiedBy>POHL Eric</cp:lastModifiedBy>
  <dcterms:created xsi:type="dcterms:W3CDTF">2025-11-26T23:19:51Z</dcterms:created>
  <dcterms:modified xsi:type="dcterms:W3CDTF">2025-11-26T23:20:11Z</dcterms:modified>
</cp:coreProperties>
</file>