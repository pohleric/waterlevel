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hle/Dropbox/Central_Asia/DISCHARGE/Q-FL/"/>
    </mc:Choice>
  </mc:AlternateContent>
  <xr:revisionPtr revIDLastSave="0" documentId="8_{F8662840-6EC4-DA42-A633-A718F2954DA1}" xr6:coauthVersionLast="47" xr6:coauthVersionMax="47" xr10:uidLastSave="{00000000-0000-0000-0000-000000000000}"/>
  <bookViews>
    <workbookView xWindow="2320" yWindow="2320" windowWidth="26820" windowHeight="15940" xr2:uid="{9019DE26-528F-EA4F-9F02-F84DCA528C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1" l="1"/>
  <c r="M41" i="1"/>
  <c r="M39" i="1"/>
  <c r="M38" i="1"/>
  <c r="M36" i="1"/>
  <c r="M34" i="1"/>
  <c r="M33" i="1"/>
  <c r="M32" i="1"/>
  <c r="M30" i="1"/>
  <c r="M29" i="1"/>
  <c r="M28" i="1"/>
  <c r="M27" i="1"/>
  <c r="M26" i="1"/>
</calcChain>
</file>

<file path=xl/sharedStrings.xml><?xml version="1.0" encoding="utf-8"?>
<sst xmlns="http://schemas.openxmlformats.org/spreadsheetml/2006/main" count="261" uniqueCount="38">
  <si>
    <t>place</t>
  </si>
  <si>
    <t>injection point</t>
  </si>
  <si>
    <t>measurement point</t>
  </si>
  <si>
    <t>date</t>
  </si>
  <si>
    <t>time</t>
  </si>
  <si>
    <t>tracer</t>
  </si>
  <si>
    <t>amount [ml](F) or [g](S)</t>
  </si>
  <si>
    <t>base solution [g/l]</t>
  </si>
  <si>
    <t>approx signal max [ppb](F) or [mg/l](S)</t>
  </si>
  <si>
    <t>discharge (calc) [m3/s]</t>
  </si>
  <si>
    <t>discharge (calc with extrapolation) [m3/s]</t>
  </si>
  <si>
    <t>discharge (manual adjusts) [m3/s]</t>
  </si>
  <si>
    <t>discharge (calc) [l/s]</t>
  </si>
  <si>
    <t>uncertainty [%]</t>
  </si>
  <si>
    <t>calibration?</t>
  </si>
  <si>
    <t>quality [3 - dubious]</t>
  </si>
  <si>
    <t>comment</t>
  </si>
  <si>
    <t>BatyshSook-old</t>
  </si>
  <si>
    <t>BS_INJ_2021-08-01_LOW</t>
  </si>
  <si>
    <t>BS_FL_2021-08-01_LOW</t>
  </si>
  <si>
    <t>F</t>
  </si>
  <si>
    <t>yes</t>
  </si>
  <si>
    <t>double measurement; second one looks much better (10:35)</t>
  </si>
  <si>
    <t>wrong injection amount?</t>
  </si>
  <si>
    <t>all calibration data seems useless - probably exposed to sunlight</t>
  </si>
  <si>
    <t>50 noted in Dominik's screenshots. But makes no sense. Signal slightly higher than for 10ml</t>
  </si>
  <si>
    <t>BS_INJ-TEST_2023-07-09_LOW</t>
  </si>
  <si>
    <t>BS_FL_2023-07-09_LOW</t>
  </si>
  <si>
    <t>presumably consistent switch from too low injection point to higher point. Only handheld GPS, very inaccurate</t>
  </si>
  <si>
    <t>lower inj point</t>
  </si>
  <si>
    <t>BS_INJ_2023-07-10_HIGH</t>
  </si>
  <si>
    <t>high inj point again</t>
  </si>
  <si>
    <t>S</t>
  </si>
  <si>
    <t>fail</t>
  </si>
  <si>
    <t>short distance, maybe not good mixing</t>
  </si>
  <si>
    <t>probably wrong; unclear calibration</t>
  </si>
  <si>
    <t>signal not smooth and very low</t>
  </si>
  <si>
    <t>F-Sommer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</si>
</sst>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hh:mm;@" x16r2:formatCode16="[$-en-CH,1]hh:mm;@"/>
  </numFmts>
  <fonts count="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32E5"/>
      <name val="Aptos Narrow"/>
      <family val="2"/>
      <scheme val="minor"/>
    </font>
    <font>
      <sz val="12"/>
      <color theme="0" tint="-0.14999847407452621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sz val="12"/>
      <color rgb="FFFFC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14" fontId="3" fillId="0" borderId="0" xfId="0" applyNumberFormat="1" applyFont="1"/>
    <xf numFmtId="0" fontId="1" fillId="2" borderId="0" xfId="0" applyFont="1" applyFill="1"/>
    <xf numFmtId="0" fontId="1" fillId="0" borderId="0" xfId="0" applyFont="1" applyAlignment="1">
      <alignment wrapText="1"/>
    </xf>
    <xf numFmtId="0" fontId="1" fillId="0" borderId="0" xfId="0" applyFont="1"/>
    <xf numFmtId="0" fontId="0" fillId="4" borderId="0" xfId="0" applyFill="1" applyAlignment="1">
      <alignment wrapText="1"/>
    </xf>
    <xf numFmtId="0" fontId="4" fillId="0" borderId="0" xfId="0" applyFont="1" applyAlignment="1">
      <alignment wrapText="1"/>
    </xf>
    <xf numFmtId="0" fontId="5" fillId="4" borderId="0" xfId="0" applyFont="1" applyFill="1" applyAlignment="1">
      <alignment wrapText="1"/>
    </xf>
    <xf numFmtId="0" fontId="4" fillId="0" borderId="0" xfId="0" applyFont="1"/>
    <xf numFmtId="164" fontId="0" fillId="0" borderId="0" xfId="0" applyNumberFormat="1"/>
    <xf numFmtId="0" fontId="0" fillId="5" borderId="0" xfId="0" applyFill="1"/>
    <xf numFmtId="0" fontId="0" fillId="4" borderId="0" xfId="0" applyFill="1"/>
    <xf numFmtId="0" fontId="6" fillId="4" borderId="0" xfId="0" applyFont="1" applyFill="1"/>
    <xf numFmtId="0" fontId="0" fillId="6" borderId="0" xfId="0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28B6-DA36-2343-B1FE-804B7129545B}">
  <dimension ref="A1:V67"/>
  <sheetViews>
    <sheetView tabSelected="1" workbookViewId="0">
      <selection sqref="A1:XFD1048576"/>
    </sheetView>
  </sheetViews>
  <sheetFormatPr baseColWidth="10" defaultRowHeight="16" x14ac:dyDescent="0.2"/>
  <cols>
    <col min="1" max="1" width="18.6640625" customWidth="1"/>
    <col min="2" max="2" width="27.1640625" customWidth="1"/>
    <col min="3" max="3" width="22.33203125" bestFit="1" customWidth="1"/>
    <col min="4" max="4" width="11.6640625" bestFit="1" customWidth="1"/>
    <col min="5" max="5" width="8.83203125" customWidth="1"/>
    <col min="7" max="7" width="20.33203125" bestFit="1" customWidth="1"/>
    <col min="16" max="16" width="21.33203125" customWidth="1"/>
  </cols>
  <sheetData>
    <row r="1" spans="1:17" ht="6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7" x14ac:dyDescent="0.2">
      <c r="A2" t="s">
        <v>17</v>
      </c>
      <c r="B2" t="s">
        <v>18</v>
      </c>
      <c r="C2" t="s">
        <v>19</v>
      </c>
      <c r="D2" s="3">
        <v>44409</v>
      </c>
      <c r="E2" s="4">
        <v>0.8125</v>
      </c>
      <c r="F2" s="5" t="s">
        <v>20</v>
      </c>
      <c r="G2" s="5">
        <v>20</v>
      </c>
      <c r="H2" s="5">
        <v>50</v>
      </c>
      <c r="I2" s="5"/>
      <c r="J2">
        <v>0.32763310000000001</v>
      </c>
      <c r="K2" s="5">
        <v>0.30873</v>
      </c>
      <c r="L2" s="5"/>
      <c r="M2" s="5"/>
      <c r="N2" s="5"/>
      <c r="O2" s="5" t="s">
        <v>21</v>
      </c>
      <c r="Q2" s="5"/>
    </row>
    <row r="3" spans="1:17" ht="17" x14ac:dyDescent="0.2">
      <c r="A3" t="s">
        <v>17</v>
      </c>
      <c r="B3" t="s">
        <v>18</v>
      </c>
      <c r="C3" t="s">
        <v>19</v>
      </c>
      <c r="D3" s="3">
        <v>44409</v>
      </c>
      <c r="E3" s="4">
        <v>0.82291666666666663</v>
      </c>
      <c r="F3" s="5" t="s">
        <v>20</v>
      </c>
      <c r="G3" s="5">
        <v>20</v>
      </c>
      <c r="H3" s="5">
        <v>50</v>
      </c>
      <c r="I3" s="5"/>
      <c r="J3">
        <v>0.31695719999999999</v>
      </c>
      <c r="K3" s="5">
        <v>0.34540999999999999</v>
      </c>
      <c r="L3" s="5"/>
      <c r="M3" s="5"/>
      <c r="N3" s="5"/>
      <c r="O3" s="5"/>
      <c r="Q3" s="5"/>
    </row>
    <row r="4" spans="1:17" ht="17" x14ac:dyDescent="0.2">
      <c r="A4" t="s">
        <v>17</v>
      </c>
      <c r="B4" t="s">
        <v>18</v>
      </c>
      <c r="C4" t="s">
        <v>19</v>
      </c>
      <c r="D4" s="3">
        <v>44410</v>
      </c>
      <c r="E4" s="4">
        <v>0.28333333333333333</v>
      </c>
      <c r="F4" s="5" t="s">
        <v>20</v>
      </c>
      <c r="G4" s="5">
        <v>10</v>
      </c>
      <c r="H4" s="5">
        <v>50</v>
      </c>
      <c r="I4" s="5"/>
      <c r="J4">
        <v>7.8285660000000007E-2</v>
      </c>
      <c r="K4" s="5">
        <v>7.1309999999999998E-2</v>
      </c>
      <c r="L4" s="5"/>
      <c r="M4" s="5"/>
      <c r="N4" s="5"/>
      <c r="O4" s="5" t="s">
        <v>21</v>
      </c>
      <c r="Q4" s="5"/>
    </row>
    <row r="5" spans="1:17" ht="17" x14ac:dyDescent="0.2">
      <c r="A5" t="s">
        <v>17</v>
      </c>
      <c r="B5" t="s">
        <v>18</v>
      </c>
      <c r="C5" t="s">
        <v>19</v>
      </c>
      <c r="D5" s="3">
        <v>44410</v>
      </c>
      <c r="E5" s="4">
        <v>0.30208333333333331</v>
      </c>
      <c r="F5" s="5" t="s">
        <v>20</v>
      </c>
      <c r="G5" s="5">
        <v>20</v>
      </c>
      <c r="H5" s="5">
        <v>50</v>
      </c>
      <c r="I5" s="5"/>
      <c r="J5" s="6">
        <v>5.1491740000000001E-2</v>
      </c>
      <c r="K5" s="7">
        <v>9.4009999999999996E-2</v>
      </c>
      <c r="L5" s="5"/>
      <c r="M5" s="5"/>
      <c r="N5" s="5"/>
      <c r="O5" s="5"/>
      <c r="Q5" s="5"/>
    </row>
    <row r="6" spans="1:17" ht="17" x14ac:dyDescent="0.2">
      <c r="A6" t="s">
        <v>17</v>
      </c>
      <c r="B6" t="s">
        <v>18</v>
      </c>
      <c r="C6" t="s">
        <v>19</v>
      </c>
      <c r="D6" s="8">
        <v>44410</v>
      </c>
      <c r="E6" s="4">
        <v>0.41666666666666669</v>
      </c>
      <c r="F6" s="5" t="s">
        <v>20</v>
      </c>
      <c r="G6" s="5">
        <v>30</v>
      </c>
      <c r="H6" s="5">
        <v>50</v>
      </c>
      <c r="I6" s="5"/>
      <c r="J6" s="9">
        <v>7.7612349999999997E-2</v>
      </c>
      <c r="K6" s="5"/>
      <c r="L6" s="5"/>
      <c r="M6" s="5"/>
      <c r="N6" s="5"/>
      <c r="O6" s="5" t="s">
        <v>21</v>
      </c>
      <c r="P6">
        <v>3</v>
      </c>
      <c r="Q6" t="s">
        <v>22</v>
      </c>
    </row>
    <row r="7" spans="1:17" ht="17" x14ac:dyDescent="0.2">
      <c r="A7" t="s">
        <v>17</v>
      </c>
      <c r="B7" t="s">
        <v>18</v>
      </c>
      <c r="C7" t="s">
        <v>19</v>
      </c>
      <c r="D7" s="8">
        <v>44410</v>
      </c>
      <c r="E7" s="4">
        <v>0.44097222222222221</v>
      </c>
      <c r="F7" s="5" t="s">
        <v>20</v>
      </c>
      <c r="G7" s="5">
        <v>30</v>
      </c>
      <c r="H7" s="5">
        <v>50</v>
      </c>
      <c r="I7" s="5"/>
      <c r="J7">
        <v>0.13716039999999999</v>
      </c>
      <c r="K7" s="5">
        <v>0.13879</v>
      </c>
      <c r="L7" s="5"/>
      <c r="M7" s="5"/>
      <c r="N7" s="5"/>
      <c r="O7" s="5"/>
      <c r="Q7" s="5"/>
    </row>
    <row r="8" spans="1:17" ht="17" x14ac:dyDescent="0.2">
      <c r="A8" t="s">
        <v>17</v>
      </c>
      <c r="B8" t="s">
        <v>18</v>
      </c>
      <c r="C8" t="s">
        <v>19</v>
      </c>
      <c r="D8" s="8">
        <v>44410</v>
      </c>
      <c r="E8" s="4">
        <v>0.53333333333333333</v>
      </c>
      <c r="F8" s="5" t="s">
        <v>20</v>
      </c>
      <c r="G8" s="10">
        <v>10</v>
      </c>
      <c r="H8" s="5">
        <v>50</v>
      </c>
      <c r="I8" s="5"/>
      <c r="J8" s="9">
        <v>7.8479999999999994E-2</v>
      </c>
      <c r="K8" s="5"/>
      <c r="L8" s="5"/>
      <c r="M8" s="5"/>
      <c r="N8" s="5"/>
      <c r="O8" s="5" t="s">
        <v>21</v>
      </c>
      <c r="P8">
        <v>3</v>
      </c>
      <c r="Q8" s="11" t="s">
        <v>23</v>
      </c>
    </row>
    <row r="9" spans="1:17" ht="17" x14ac:dyDescent="0.2">
      <c r="A9" t="s">
        <v>17</v>
      </c>
      <c r="B9" t="s">
        <v>18</v>
      </c>
      <c r="C9" t="s">
        <v>19</v>
      </c>
      <c r="D9" s="8">
        <v>44410</v>
      </c>
      <c r="E9" s="4">
        <v>0.65625</v>
      </c>
      <c r="F9" s="5" t="s">
        <v>20</v>
      </c>
      <c r="G9" s="5">
        <v>30</v>
      </c>
      <c r="H9" s="5">
        <v>50</v>
      </c>
      <c r="I9" s="5"/>
      <c r="J9">
        <v>0.247364</v>
      </c>
      <c r="K9" s="5"/>
      <c r="L9" s="5"/>
      <c r="M9" s="5"/>
      <c r="N9" s="5"/>
      <c r="O9" s="5" t="s">
        <v>21</v>
      </c>
      <c r="Q9" s="5"/>
    </row>
    <row r="10" spans="1:17" ht="17" x14ac:dyDescent="0.2">
      <c r="A10" t="s">
        <v>17</v>
      </c>
      <c r="B10" t="s">
        <v>18</v>
      </c>
      <c r="C10" t="s">
        <v>19</v>
      </c>
      <c r="D10" s="8">
        <v>44410</v>
      </c>
      <c r="E10" s="4">
        <v>0.67013888888888884</v>
      </c>
      <c r="F10" s="5" t="s">
        <v>20</v>
      </c>
      <c r="G10" s="5">
        <v>30</v>
      </c>
      <c r="H10" s="5">
        <v>50</v>
      </c>
      <c r="I10" s="5"/>
      <c r="J10">
        <v>0.3238702</v>
      </c>
      <c r="K10" s="5">
        <v>0.31657000000000002</v>
      </c>
      <c r="L10" s="5"/>
      <c r="M10" s="5"/>
      <c r="N10" s="5"/>
      <c r="O10" s="5"/>
      <c r="Q10" s="5"/>
    </row>
    <row r="11" spans="1:17" ht="17" x14ac:dyDescent="0.2">
      <c r="A11" t="s">
        <v>17</v>
      </c>
      <c r="B11" t="s">
        <v>18</v>
      </c>
      <c r="C11" t="s">
        <v>19</v>
      </c>
      <c r="D11" s="8">
        <v>44410</v>
      </c>
      <c r="E11" s="4">
        <v>0.67708333333333337</v>
      </c>
      <c r="F11" s="5" t="s">
        <v>20</v>
      </c>
      <c r="G11" s="5">
        <v>30</v>
      </c>
      <c r="H11" s="5">
        <v>50</v>
      </c>
      <c r="I11" s="5"/>
      <c r="J11">
        <v>0.3071818</v>
      </c>
      <c r="K11" s="5">
        <v>0.30108000000000001</v>
      </c>
      <c r="L11" s="5"/>
      <c r="M11" s="5"/>
      <c r="N11" s="5"/>
      <c r="O11" s="5"/>
      <c r="Q11" s="5"/>
    </row>
    <row r="12" spans="1:17" ht="17" x14ac:dyDescent="0.2">
      <c r="A12" t="s">
        <v>17</v>
      </c>
      <c r="B12" t="s">
        <v>18</v>
      </c>
      <c r="C12" t="s">
        <v>19</v>
      </c>
      <c r="D12" s="8">
        <v>44410</v>
      </c>
      <c r="E12" s="4">
        <v>0.75624999999999998</v>
      </c>
      <c r="F12" s="5" t="s">
        <v>20</v>
      </c>
      <c r="G12" s="5">
        <v>30</v>
      </c>
      <c r="H12" s="5">
        <v>50</v>
      </c>
      <c r="I12" s="5"/>
      <c r="J12">
        <v>0.31123000000000001</v>
      </c>
      <c r="K12" s="5">
        <v>0.29898999999999998</v>
      </c>
      <c r="L12" s="5"/>
      <c r="M12" s="5"/>
      <c r="N12" s="5"/>
      <c r="O12" s="5" t="s">
        <v>21</v>
      </c>
      <c r="Q12" s="5"/>
    </row>
    <row r="13" spans="1:17" ht="17" x14ac:dyDescent="0.2">
      <c r="A13" t="s">
        <v>17</v>
      </c>
      <c r="B13" t="s">
        <v>18</v>
      </c>
      <c r="C13" t="s">
        <v>19</v>
      </c>
      <c r="D13" s="8">
        <v>44411</v>
      </c>
      <c r="E13" s="4">
        <v>0.25</v>
      </c>
      <c r="F13" s="5" t="s">
        <v>20</v>
      </c>
      <c r="G13" s="5">
        <v>30</v>
      </c>
      <c r="H13" s="5">
        <v>50</v>
      </c>
      <c r="I13" s="5"/>
      <c r="J13">
        <v>7.3109190000000004E-2</v>
      </c>
      <c r="K13" s="5">
        <v>7.9689999999999997E-2</v>
      </c>
      <c r="L13" s="5"/>
      <c r="M13" s="5"/>
      <c r="N13" s="5"/>
      <c r="O13" s="5"/>
      <c r="Q13" s="5"/>
    </row>
    <row r="14" spans="1:17" ht="17" x14ac:dyDescent="0.2">
      <c r="A14" t="s">
        <v>17</v>
      </c>
      <c r="B14" t="s">
        <v>18</v>
      </c>
      <c r="C14" t="s">
        <v>19</v>
      </c>
      <c r="D14" s="8">
        <v>44411</v>
      </c>
      <c r="E14" s="4">
        <v>0.27083333333333331</v>
      </c>
      <c r="F14" s="5" t="s">
        <v>20</v>
      </c>
      <c r="G14" s="5">
        <v>30</v>
      </c>
      <c r="H14" s="5">
        <v>50</v>
      </c>
      <c r="I14" s="5"/>
      <c r="J14">
        <v>6.8910410000000005E-2</v>
      </c>
      <c r="K14" s="5"/>
      <c r="L14" s="5"/>
      <c r="M14" s="5"/>
      <c r="N14" s="5"/>
      <c r="O14" s="5"/>
      <c r="Q14" s="5"/>
    </row>
    <row r="15" spans="1:17" x14ac:dyDescent="0.2">
      <c r="D15" s="8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Q15" s="5"/>
    </row>
    <row r="16" spans="1:17" x14ac:dyDescent="0.2">
      <c r="A16" s="1"/>
      <c r="B16" s="1"/>
      <c r="C16" s="1"/>
      <c r="D16" s="1"/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Q16" s="2"/>
    </row>
    <row r="17" spans="1:22" x14ac:dyDescent="0.2">
      <c r="A17" t="s">
        <v>17</v>
      </c>
      <c r="B17" t="s">
        <v>18</v>
      </c>
      <c r="C17" t="s">
        <v>19</v>
      </c>
      <c r="D17" s="3">
        <v>44793</v>
      </c>
      <c r="E17" s="4">
        <v>0.375</v>
      </c>
      <c r="F17" t="s">
        <v>20</v>
      </c>
      <c r="G17" s="5">
        <v>10</v>
      </c>
      <c r="H17" s="5">
        <v>50</v>
      </c>
      <c r="I17" s="5"/>
      <c r="J17" s="12">
        <v>2.384E-2</v>
      </c>
      <c r="K17" s="5"/>
      <c r="L17" s="5"/>
      <c r="M17" s="5"/>
      <c r="N17" s="5"/>
      <c r="O17" s="5"/>
      <c r="Q17" s="11" t="s">
        <v>24</v>
      </c>
    </row>
    <row r="18" spans="1:22" x14ac:dyDescent="0.2">
      <c r="A18" t="s">
        <v>17</v>
      </c>
      <c r="B18" t="s">
        <v>18</v>
      </c>
      <c r="C18" t="s">
        <v>19</v>
      </c>
      <c r="D18" s="3">
        <v>44793</v>
      </c>
      <c r="E18" s="4">
        <v>0.41666666666666669</v>
      </c>
      <c r="F18" t="s">
        <v>20</v>
      </c>
      <c r="G18" s="13">
        <v>15</v>
      </c>
      <c r="H18" s="5">
        <v>50</v>
      </c>
      <c r="I18" s="5"/>
      <c r="J18" s="12"/>
      <c r="K18" s="5"/>
      <c r="L18" s="5"/>
      <c r="M18" s="5"/>
      <c r="N18" s="5"/>
      <c r="O18" s="5"/>
      <c r="Q18" t="s">
        <v>25</v>
      </c>
    </row>
    <row r="19" spans="1:22" x14ac:dyDescent="0.2">
      <c r="A19" t="s">
        <v>17</v>
      </c>
      <c r="B19" t="s">
        <v>18</v>
      </c>
      <c r="C19" t="s">
        <v>19</v>
      </c>
      <c r="D19" s="3">
        <v>44793</v>
      </c>
      <c r="E19" s="4">
        <v>0.45833333333333331</v>
      </c>
      <c r="F19" t="s">
        <v>20</v>
      </c>
      <c r="G19" s="5">
        <v>50</v>
      </c>
      <c r="H19" s="5">
        <v>50</v>
      </c>
      <c r="I19" s="5"/>
      <c r="J19" s="14">
        <v>1.7840000000000002E-2</v>
      </c>
      <c r="K19" s="5"/>
      <c r="L19" s="5"/>
      <c r="M19" s="5"/>
      <c r="N19" s="5"/>
      <c r="O19" s="5"/>
      <c r="Q19" s="5"/>
    </row>
    <row r="20" spans="1:22" x14ac:dyDescent="0.2">
      <c r="A20" t="s">
        <v>17</v>
      </c>
      <c r="B20" t="s">
        <v>18</v>
      </c>
      <c r="C20" t="s">
        <v>19</v>
      </c>
      <c r="D20" s="3">
        <v>44793</v>
      </c>
      <c r="E20" s="4">
        <v>0.51388888888888884</v>
      </c>
      <c r="F20" t="s">
        <v>20</v>
      </c>
      <c r="G20" s="5">
        <v>15</v>
      </c>
      <c r="H20" s="5">
        <v>50</v>
      </c>
      <c r="I20" s="5"/>
      <c r="J20" s="12">
        <v>0.29487000000000002</v>
      </c>
      <c r="K20" s="5"/>
      <c r="L20" s="5"/>
      <c r="M20" s="5"/>
      <c r="N20" s="5"/>
      <c r="O20" s="5"/>
      <c r="Q20" s="5"/>
    </row>
    <row r="21" spans="1:22" x14ac:dyDescent="0.2">
      <c r="A21" t="s">
        <v>17</v>
      </c>
      <c r="B21" t="s">
        <v>18</v>
      </c>
      <c r="C21" t="s">
        <v>19</v>
      </c>
      <c r="D21" s="3">
        <v>44793</v>
      </c>
      <c r="E21" s="4">
        <v>0.58333333333333337</v>
      </c>
      <c r="F21" t="s">
        <v>20</v>
      </c>
      <c r="G21" s="5">
        <v>10</v>
      </c>
      <c r="H21" s="5">
        <v>50</v>
      </c>
      <c r="I21" s="5"/>
      <c r="J21" s="12">
        <v>0.48004000000000002</v>
      </c>
      <c r="K21" s="5"/>
      <c r="L21" s="5"/>
      <c r="M21" s="5"/>
      <c r="N21" s="5"/>
      <c r="O21" s="5"/>
      <c r="Q21" s="5"/>
    </row>
    <row r="22" spans="1:22" x14ac:dyDescent="0.2">
      <c r="A22" t="s">
        <v>17</v>
      </c>
      <c r="B22" t="s">
        <v>18</v>
      </c>
      <c r="C22" t="s">
        <v>19</v>
      </c>
      <c r="D22" s="3">
        <v>44793</v>
      </c>
      <c r="E22" s="4">
        <v>0.625</v>
      </c>
      <c r="F22" t="s">
        <v>20</v>
      </c>
      <c r="G22" s="5">
        <v>10</v>
      </c>
      <c r="H22" s="5">
        <v>50</v>
      </c>
      <c r="I22" s="5"/>
      <c r="J22" s="12">
        <v>0.8054</v>
      </c>
      <c r="K22" s="5"/>
      <c r="L22" s="5"/>
      <c r="M22" s="5"/>
      <c r="N22" s="5"/>
      <c r="O22" s="5"/>
      <c r="Q22" s="5"/>
    </row>
    <row r="23" spans="1:22" ht="17" x14ac:dyDescent="0.2">
      <c r="A23" t="s">
        <v>17</v>
      </c>
      <c r="B23" t="s">
        <v>18</v>
      </c>
      <c r="C23" t="s">
        <v>19</v>
      </c>
      <c r="D23" s="3">
        <v>44793</v>
      </c>
      <c r="E23" s="4">
        <v>0.63541666666666663</v>
      </c>
      <c r="F23" s="5" t="s">
        <v>20</v>
      </c>
      <c r="G23" s="5">
        <v>15</v>
      </c>
      <c r="H23" s="5">
        <v>50</v>
      </c>
      <c r="I23" s="5"/>
      <c r="J23" s="12">
        <v>0.57715000000000005</v>
      </c>
      <c r="K23" s="5"/>
      <c r="L23" s="5"/>
      <c r="M23" s="5"/>
      <c r="N23" s="5"/>
      <c r="O23" s="5"/>
      <c r="Q23" s="5"/>
    </row>
    <row r="24" spans="1:22" x14ac:dyDescent="0.2">
      <c r="F24" s="5"/>
      <c r="G24" s="5"/>
      <c r="H24" s="5"/>
      <c r="I24" s="5"/>
      <c r="J24" s="5"/>
      <c r="K24" s="5"/>
      <c r="L24" s="5"/>
      <c r="M24" s="5"/>
      <c r="N24" s="5"/>
      <c r="O24" s="5"/>
      <c r="Q24" s="5"/>
    </row>
    <row r="25" spans="1:22" x14ac:dyDescent="0.2">
      <c r="A25" s="1"/>
      <c r="B25" s="1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2"/>
      <c r="O25" s="2"/>
      <c r="Q25" s="2"/>
    </row>
    <row r="26" spans="1:22" x14ac:dyDescent="0.2">
      <c r="A26" t="s">
        <v>17</v>
      </c>
      <c r="B26" s="15" t="s">
        <v>26</v>
      </c>
      <c r="C26" t="s">
        <v>27</v>
      </c>
      <c r="D26" s="3">
        <v>45116</v>
      </c>
      <c r="E26" s="4">
        <v>0.66666666666666663</v>
      </c>
      <c r="F26" t="s">
        <v>20</v>
      </c>
      <c r="G26">
        <v>10</v>
      </c>
      <c r="H26">
        <v>50</v>
      </c>
      <c r="I26">
        <v>50</v>
      </c>
      <c r="J26">
        <v>3.6749999999999998E-2</v>
      </c>
      <c r="K26">
        <v>3.5869999999999999E-2</v>
      </c>
      <c r="M26">
        <f>K26*1000</f>
        <v>35.869999999999997</v>
      </c>
      <c r="O26" s="1" t="s">
        <v>21</v>
      </c>
      <c r="Q26" s="15" t="s">
        <v>28</v>
      </c>
      <c r="T26" s="1"/>
      <c r="U26" s="1"/>
      <c r="V26" s="2"/>
    </row>
    <row r="27" spans="1:22" x14ac:dyDescent="0.2">
      <c r="A27" t="s">
        <v>17</v>
      </c>
      <c r="B27" s="15" t="s">
        <v>26</v>
      </c>
      <c r="C27" t="s">
        <v>27</v>
      </c>
      <c r="D27" s="3">
        <v>45116</v>
      </c>
      <c r="E27" s="4">
        <v>0.6875</v>
      </c>
      <c r="F27" t="s">
        <v>20</v>
      </c>
      <c r="G27">
        <v>10</v>
      </c>
      <c r="H27">
        <v>50</v>
      </c>
      <c r="I27">
        <v>90</v>
      </c>
      <c r="J27">
        <v>3.2140000000000002E-2</v>
      </c>
      <c r="K27">
        <v>3.125E-2</v>
      </c>
      <c r="M27">
        <f t="shared" ref="M27:M30" si="0">K27*1000</f>
        <v>31.25</v>
      </c>
      <c r="Q27" t="s">
        <v>29</v>
      </c>
      <c r="T27" s="3"/>
      <c r="U27" s="16"/>
    </row>
    <row r="28" spans="1:22" x14ac:dyDescent="0.2">
      <c r="A28" t="s">
        <v>17</v>
      </c>
      <c r="B28" s="15" t="s">
        <v>30</v>
      </c>
      <c r="C28" t="s">
        <v>27</v>
      </c>
      <c r="D28" s="3">
        <v>45116</v>
      </c>
      <c r="E28" s="4">
        <v>0.70833333333333337</v>
      </c>
      <c r="F28" t="s">
        <v>20</v>
      </c>
      <c r="G28">
        <v>10</v>
      </c>
      <c r="H28">
        <v>50</v>
      </c>
      <c r="J28">
        <v>4.113E-2</v>
      </c>
      <c r="K28">
        <v>3.8190000000000002E-2</v>
      </c>
      <c r="M28">
        <f t="shared" si="0"/>
        <v>38.190000000000005</v>
      </c>
      <c r="Q28" t="s">
        <v>31</v>
      </c>
      <c r="T28" s="3"/>
      <c r="U28" s="16"/>
    </row>
    <row r="29" spans="1:22" x14ac:dyDescent="0.2">
      <c r="A29" t="s">
        <v>17</v>
      </c>
      <c r="B29" s="15" t="s">
        <v>30</v>
      </c>
      <c r="C29" t="s">
        <v>27</v>
      </c>
      <c r="D29" s="3">
        <v>45117</v>
      </c>
      <c r="E29" s="4">
        <v>0.33749999999999997</v>
      </c>
      <c r="F29" t="s">
        <v>20</v>
      </c>
      <c r="G29">
        <v>10</v>
      </c>
      <c r="H29">
        <v>50</v>
      </c>
      <c r="J29">
        <v>6.7799999999999999E-2</v>
      </c>
      <c r="K29">
        <v>7.1629999999999999E-2</v>
      </c>
      <c r="M29">
        <f t="shared" si="0"/>
        <v>71.63</v>
      </c>
      <c r="O29" s="1" t="s">
        <v>21</v>
      </c>
      <c r="T29" s="3"/>
      <c r="U29" s="16"/>
    </row>
    <row r="30" spans="1:22" x14ac:dyDescent="0.2">
      <c r="A30" t="s">
        <v>17</v>
      </c>
      <c r="B30" s="15" t="s">
        <v>30</v>
      </c>
      <c r="C30" t="s">
        <v>27</v>
      </c>
      <c r="D30" s="3">
        <v>45117</v>
      </c>
      <c r="E30" s="4">
        <v>0.375</v>
      </c>
      <c r="F30" t="s">
        <v>20</v>
      </c>
      <c r="G30">
        <v>10</v>
      </c>
      <c r="H30">
        <v>50</v>
      </c>
      <c r="J30">
        <v>7.6840000000000006E-2</v>
      </c>
      <c r="K30">
        <v>6.8650000000000003E-2</v>
      </c>
      <c r="M30">
        <f t="shared" si="0"/>
        <v>68.650000000000006</v>
      </c>
      <c r="T30" s="3"/>
      <c r="U30" s="16"/>
    </row>
    <row r="31" spans="1:22" x14ac:dyDescent="0.2">
      <c r="A31" t="s">
        <v>17</v>
      </c>
      <c r="B31" s="15"/>
      <c r="D31" s="3">
        <v>45117</v>
      </c>
      <c r="E31" s="4">
        <v>0.38541666666666669</v>
      </c>
      <c r="F31" s="17" t="s">
        <v>32</v>
      </c>
      <c r="G31" s="17"/>
      <c r="H31" s="17"/>
      <c r="I31" s="17"/>
      <c r="J31" s="17"/>
      <c r="K31" s="17"/>
      <c r="L31" s="17"/>
      <c r="M31" s="17"/>
      <c r="N31" s="17"/>
      <c r="Q31" t="s">
        <v>33</v>
      </c>
      <c r="T31" s="3"/>
      <c r="U31" s="16"/>
    </row>
    <row r="32" spans="1:22" x14ac:dyDescent="0.2">
      <c r="A32" t="s">
        <v>17</v>
      </c>
      <c r="B32" s="15" t="s">
        <v>30</v>
      </c>
      <c r="C32" t="s">
        <v>27</v>
      </c>
      <c r="D32" s="3">
        <v>45117</v>
      </c>
      <c r="E32" s="4">
        <v>0.41666666666666669</v>
      </c>
      <c r="F32" t="s">
        <v>20</v>
      </c>
      <c r="G32">
        <v>10</v>
      </c>
      <c r="H32">
        <v>50</v>
      </c>
      <c r="J32">
        <v>6.651E-2</v>
      </c>
      <c r="K32">
        <v>6.9180000000000005E-2</v>
      </c>
      <c r="M32">
        <f>K32*1000</f>
        <v>69.180000000000007</v>
      </c>
      <c r="T32" s="3"/>
      <c r="U32" s="16"/>
    </row>
    <row r="33" spans="1:21" x14ac:dyDescent="0.2">
      <c r="A33" t="s">
        <v>17</v>
      </c>
      <c r="B33" s="15" t="s">
        <v>30</v>
      </c>
      <c r="C33" t="s">
        <v>27</v>
      </c>
      <c r="D33" s="3">
        <v>45117</v>
      </c>
      <c r="E33" s="4">
        <v>0.43263888888888885</v>
      </c>
      <c r="F33" t="s">
        <v>20</v>
      </c>
      <c r="G33">
        <v>10</v>
      </c>
      <c r="H33">
        <v>50</v>
      </c>
      <c r="J33">
        <v>6.9389999999999993E-2</v>
      </c>
      <c r="K33">
        <v>6.5540000000000001E-2</v>
      </c>
      <c r="M33">
        <f>K33*1000</f>
        <v>65.540000000000006</v>
      </c>
      <c r="T33" s="3"/>
      <c r="U33" s="16"/>
    </row>
    <row r="34" spans="1:21" x14ac:dyDescent="0.2">
      <c r="A34" t="s">
        <v>17</v>
      </c>
      <c r="B34" s="15" t="s">
        <v>30</v>
      </c>
      <c r="C34" t="s">
        <v>27</v>
      </c>
      <c r="D34" s="3">
        <v>45117</v>
      </c>
      <c r="E34" s="4">
        <v>0.45833333333333331</v>
      </c>
      <c r="F34" t="s">
        <v>20</v>
      </c>
      <c r="G34">
        <v>10</v>
      </c>
      <c r="H34">
        <v>50</v>
      </c>
      <c r="J34">
        <v>5.6399999999999999E-2</v>
      </c>
      <c r="K34">
        <v>6.4100000000000004E-2</v>
      </c>
      <c r="M34">
        <f>K34*1000</f>
        <v>64.100000000000009</v>
      </c>
      <c r="T34" s="3"/>
      <c r="U34" s="16"/>
    </row>
    <row r="35" spans="1:21" x14ac:dyDescent="0.2">
      <c r="A35" t="s">
        <v>17</v>
      </c>
      <c r="B35" s="15"/>
      <c r="D35" s="3">
        <v>45117</v>
      </c>
      <c r="E35" s="4">
        <v>0.46527777777777773</v>
      </c>
      <c r="F35" s="17" t="s">
        <v>32</v>
      </c>
      <c r="G35" s="17">
        <v>1000</v>
      </c>
      <c r="H35" s="17"/>
      <c r="I35" s="17"/>
      <c r="J35" s="17"/>
      <c r="K35" s="17"/>
      <c r="L35" s="17"/>
      <c r="M35" s="17">
        <v>67</v>
      </c>
      <c r="N35" s="17"/>
      <c r="T35" s="3"/>
      <c r="U35" s="16"/>
    </row>
    <row r="36" spans="1:21" x14ac:dyDescent="0.2">
      <c r="A36" t="s">
        <v>17</v>
      </c>
      <c r="B36" s="15" t="s">
        <v>30</v>
      </c>
      <c r="C36" t="s">
        <v>27</v>
      </c>
      <c r="D36" s="3">
        <v>45117</v>
      </c>
      <c r="E36" s="4">
        <v>0.5</v>
      </c>
      <c r="F36" t="s">
        <v>20</v>
      </c>
      <c r="G36">
        <v>10</v>
      </c>
      <c r="H36">
        <v>50</v>
      </c>
      <c r="J36">
        <v>7.3679999999999995E-2</v>
      </c>
      <c r="K36">
        <v>6.3049999999999995E-2</v>
      </c>
      <c r="M36">
        <f>K36*1000</f>
        <v>63.05</v>
      </c>
      <c r="T36" s="3"/>
      <c r="U36" s="16"/>
    </row>
    <row r="37" spans="1:21" x14ac:dyDescent="0.2">
      <c r="A37" t="s">
        <v>17</v>
      </c>
      <c r="B37" s="15"/>
      <c r="D37" s="3">
        <v>45117</v>
      </c>
      <c r="E37" s="4">
        <v>0.5</v>
      </c>
      <c r="F37" s="17" t="s">
        <v>32</v>
      </c>
      <c r="G37" s="17">
        <v>1000</v>
      </c>
      <c r="H37" s="17"/>
      <c r="I37" s="17"/>
      <c r="J37" s="17"/>
      <c r="K37" s="17"/>
      <c r="L37" s="17"/>
      <c r="M37" s="17">
        <v>69</v>
      </c>
      <c r="N37" s="17"/>
      <c r="P37" s="18"/>
      <c r="T37" s="3"/>
      <c r="U37" s="16"/>
    </row>
    <row r="38" spans="1:21" x14ac:dyDescent="0.2">
      <c r="A38" t="s">
        <v>17</v>
      </c>
      <c r="B38" s="15" t="s">
        <v>30</v>
      </c>
      <c r="C38" t="s">
        <v>27</v>
      </c>
      <c r="D38" s="3">
        <v>45117</v>
      </c>
      <c r="E38" s="4">
        <v>0.52083333333333337</v>
      </c>
      <c r="F38" t="s">
        <v>20</v>
      </c>
      <c r="G38">
        <v>10</v>
      </c>
      <c r="H38">
        <v>50</v>
      </c>
      <c r="J38">
        <v>6.1120000000000001E-2</v>
      </c>
      <c r="K38">
        <v>5.7360000000000001E-2</v>
      </c>
      <c r="M38">
        <f>K38*1000</f>
        <v>57.36</v>
      </c>
      <c r="T38" s="3"/>
      <c r="U38" s="16"/>
    </row>
    <row r="39" spans="1:21" x14ac:dyDescent="0.2">
      <c r="A39" t="s">
        <v>17</v>
      </c>
      <c r="B39" s="15" t="s">
        <v>30</v>
      </c>
      <c r="C39" t="s">
        <v>27</v>
      </c>
      <c r="D39" s="3">
        <v>45117</v>
      </c>
      <c r="E39" s="4">
        <v>0.54513888888888895</v>
      </c>
      <c r="F39" t="s">
        <v>20</v>
      </c>
      <c r="G39">
        <v>10</v>
      </c>
      <c r="H39">
        <v>50</v>
      </c>
      <c r="J39">
        <v>5.8349999999999999E-2</v>
      </c>
      <c r="K39">
        <v>5.6439999999999997E-2</v>
      </c>
      <c r="M39">
        <f>K39*1000</f>
        <v>56.44</v>
      </c>
      <c r="O39" s="1" t="s">
        <v>21</v>
      </c>
      <c r="T39" s="3"/>
      <c r="U39" s="16"/>
    </row>
    <row r="40" spans="1:21" x14ac:dyDescent="0.2">
      <c r="A40" t="s">
        <v>17</v>
      </c>
      <c r="B40" s="15"/>
      <c r="D40" s="3">
        <v>45117</v>
      </c>
      <c r="E40" s="4">
        <v>0.55208333333333337</v>
      </c>
      <c r="F40" s="17" t="s">
        <v>32</v>
      </c>
      <c r="G40" s="17">
        <v>1000</v>
      </c>
      <c r="H40" s="17"/>
      <c r="I40" s="17"/>
      <c r="J40" s="17"/>
      <c r="K40" s="17"/>
      <c r="L40" s="17"/>
      <c r="M40" s="17">
        <v>57</v>
      </c>
      <c r="N40" s="17"/>
      <c r="Q40" t="s">
        <v>34</v>
      </c>
      <c r="T40" s="3"/>
      <c r="U40" s="16"/>
    </row>
    <row r="41" spans="1:21" x14ac:dyDescent="0.2">
      <c r="A41" t="s">
        <v>17</v>
      </c>
      <c r="B41" s="15" t="s">
        <v>30</v>
      </c>
      <c r="C41" t="s">
        <v>27</v>
      </c>
      <c r="D41" s="3">
        <v>45117</v>
      </c>
      <c r="E41" s="4">
        <v>0.57291666666666663</v>
      </c>
      <c r="F41" t="s">
        <v>20</v>
      </c>
      <c r="G41">
        <v>10</v>
      </c>
      <c r="H41">
        <v>50</v>
      </c>
      <c r="J41">
        <v>5.425E-2</v>
      </c>
      <c r="K41">
        <v>5.3800000000000001E-2</v>
      </c>
      <c r="M41">
        <f>K41*1000</f>
        <v>53.8</v>
      </c>
      <c r="T41" s="3"/>
      <c r="U41" s="16"/>
    </row>
    <row r="42" spans="1:21" x14ac:dyDescent="0.2">
      <c r="A42" t="s">
        <v>17</v>
      </c>
      <c r="B42" s="15" t="s">
        <v>30</v>
      </c>
      <c r="C42" t="s">
        <v>27</v>
      </c>
      <c r="D42" s="3">
        <v>45117</v>
      </c>
      <c r="E42" s="4">
        <v>0.59722222222222221</v>
      </c>
      <c r="F42" t="s">
        <v>20</v>
      </c>
      <c r="G42">
        <v>10</v>
      </c>
      <c r="H42">
        <v>50</v>
      </c>
      <c r="J42">
        <v>5.7509999999999999E-2</v>
      </c>
      <c r="K42">
        <v>5.5010000000000003E-2</v>
      </c>
      <c r="M42">
        <f>K42*1000</f>
        <v>55.010000000000005</v>
      </c>
      <c r="T42" s="3"/>
      <c r="U42" s="16"/>
    </row>
    <row r="43" spans="1:21" x14ac:dyDescent="0.2">
      <c r="A43" t="s">
        <v>17</v>
      </c>
      <c r="B43" s="15" t="s">
        <v>30</v>
      </c>
      <c r="C43" t="s">
        <v>27</v>
      </c>
      <c r="D43" s="3">
        <v>45118</v>
      </c>
      <c r="E43" s="4">
        <v>0.42708333333333331</v>
      </c>
      <c r="F43" t="s">
        <v>20</v>
      </c>
      <c r="G43">
        <v>10</v>
      </c>
      <c r="H43">
        <v>50</v>
      </c>
      <c r="I43">
        <v>22</v>
      </c>
      <c r="J43" s="19">
        <v>0.94984999999999997</v>
      </c>
      <c r="Q43" s="11" t="s">
        <v>35</v>
      </c>
      <c r="T43" s="3"/>
      <c r="U43" s="16"/>
    </row>
    <row r="44" spans="1:21" x14ac:dyDescent="0.2">
      <c r="A44" t="s">
        <v>17</v>
      </c>
      <c r="B44" s="15" t="s">
        <v>30</v>
      </c>
      <c r="C44" t="s">
        <v>27</v>
      </c>
      <c r="D44" s="3">
        <v>45118</v>
      </c>
      <c r="E44" s="4">
        <v>0.45833333333333331</v>
      </c>
      <c r="F44" t="s">
        <v>20</v>
      </c>
      <c r="G44">
        <v>10</v>
      </c>
      <c r="H44">
        <v>50</v>
      </c>
      <c r="I44">
        <v>23</v>
      </c>
      <c r="J44" s="19">
        <v>0.32940000000000003</v>
      </c>
      <c r="T44" s="3"/>
      <c r="U44" s="16"/>
    </row>
    <row r="45" spans="1:21" x14ac:dyDescent="0.2">
      <c r="A45" t="s">
        <v>17</v>
      </c>
      <c r="B45" s="15"/>
      <c r="D45" s="3">
        <v>45118</v>
      </c>
      <c r="E45" s="4">
        <v>0.44791666666666669</v>
      </c>
      <c r="F45" s="17" t="s">
        <v>32</v>
      </c>
      <c r="G45" s="17">
        <v>1000</v>
      </c>
      <c r="H45" s="17"/>
      <c r="I45" s="17"/>
      <c r="J45" s="17"/>
      <c r="K45" s="17"/>
      <c r="L45" s="17"/>
      <c r="M45" s="17">
        <v>68</v>
      </c>
      <c r="N45" s="17"/>
    </row>
    <row r="46" spans="1:21" x14ac:dyDescent="0.2">
      <c r="A46" t="s">
        <v>17</v>
      </c>
      <c r="B46" s="15" t="s">
        <v>30</v>
      </c>
      <c r="C46" t="s">
        <v>27</v>
      </c>
      <c r="D46" s="3">
        <v>45118</v>
      </c>
      <c r="E46" s="4">
        <v>0.5</v>
      </c>
      <c r="F46" t="s">
        <v>20</v>
      </c>
      <c r="G46">
        <v>10</v>
      </c>
      <c r="H46">
        <v>50</v>
      </c>
    </row>
    <row r="47" spans="1:21" x14ac:dyDescent="0.2">
      <c r="A47" t="s">
        <v>17</v>
      </c>
      <c r="B47" s="15" t="s">
        <v>30</v>
      </c>
      <c r="C47" t="s">
        <v>27</v>
      </c>
      <c r="D47" s="3">
        <v>45118</v>
      </c>
      <c r="E47" s="4">
        <v>0.54166666666666663</v>
      </c>
      <c r="F47" t="s">
        <v>20</v>
      </c>
      <c r="G47">
        <v>10</v>
      </c>
      <c r="H47">
        <v>50</v>
      </c>
    </row>
    <row r="50" spans="1:17" x14ac:dyDescent="0.2">
      <c r="A50" t="s">
        <v>17</v>
      </c>
      <c r="B50" t="s">
        <v>30</v>
      </c>
      <c r="C50" t="s">
        <v>27</v>
      </c>
      <c r="D50" s="3">
        <v>45523</v>
      </c>
      <c r="E50" s="4">
        <v>0.36944444444444446</v>
      </c>
      <c r="F50" t="s">
        <v>20</v>
      </c>
      <c r="G50">
        <v>10</v>
      </c>
      <c r="H50">
        <v>50</v>
      </c>
      <c r="I50">
        <v>25</v>
      </c>
      <c r="J50">
        <v>0.40611999999999998</v>
      </c>
      <c r="K50">
        <v>0.37395</v>
      </c>
      <c r="O50" t="s">
        <v>21</v>
      </c>
    </row>
    <row r="51" spans="1:17" x14ac:dyDescent="0.2">
      <c r="A51" t="s">
        <v>17</v>
      </c>
      <c r="B51" t="s">
        <v>30</v>
      </c>
      <c r="C51" t="s">
        <v>27</v>
      </c>
      <c r="D51" s="3">
        <v>45523</v>
      </c>
      <c r="E51" s="4">
        <v>0.42708333333333331</v>
      </c>
      <c r="F51" t="s">
        <v>20</v>
      </c>
      <c r="G51">
        <v>10</v>
      </c>
      <c r="H51">
        <v>50</v>
      </c>
      <c r="J51">
        <v>0.39087</v>
      </c>
      <c r="K51">
        <v>0.39082</v>
      </c>
    </row>
    <row r="52" spans="1:17" x14ac:dyDescent="0.2">
      <c r="A52" t="s">
        <v>17</v>
      </c>
      <c r="B52" t="s">
        <v>30</v>
      </c>
      <c r="C52" t="s">
        <v>27</v>
      </c>
      <c r="D52" s="3">
        <v>45523</v>
      </c>
      <c r="E52" s="4">
        <v>0.4375</v>
      </c>
      <c r="F52" t="s">
        <v>20</v>
      </c>
      <c r="G52">
        <v>10</v>
      </c>
      <c r="H52">
        <v>50</v>
      </c>
      <c r="I52">
        <v>22</v>
      </c>
      <c r="J52">
        <v>0.42806</v>
      </c>
      <c r="K52">
        <v>0.42365999999999998</v>
      </c>
    </row>
    <row r="53" spans="1:17" x14ac:dyDescent="0.2">
      <c r="A53" t="s">
        <v>17</v>
      </c>
      <c r="B53" t="s">
        <v>30</v>
      </c>
      <c r="C53" t="s">
        <v>27</v>
      </c>
      <c r="D53" s="3">
        <v>45523</v>
      </c>
      <c r="E53" s="4">
        <v>0.52916666666666667</v>
      </c>
      <c r="F53" t="s">
        <v>20</v>
      </c>
      <c r="G53">
        <v>10</v>
      </c>
      <c r="H53">
        <v>50</v>
      </c>
      <c r="J53">
        <v>0.54501999999999995</v>
      </c>
      <c r="O53" t="s">
        <v>21</v>
      </c>
    </row>
    <row r="54" spans="1:17" x14ac:dyDescent="0.2">
      <c r="A54" t="s">
        <v>17</v>
      </c>
      <c r="B54" t="s">
        <v>30</v>
      </c>
      <c r="C54" t="s">
        <v>27</v>
      </c>
      <c r="D54" s="3">
        <v>45523</v>
      </c>
      <c r="E54" s="4">
        <v>0.55555555555555558</v>
      </c>
      <c r="F54" t="s">
        <v>20</v>
      </c>
      <c r="G54">
        <v>10</v>
      </c>
      <c r="H54">
        <v>50</v>
      </c>
      <c r="I54">
        <v>16</v>
      </c>
      <c r="J54" s="20">
        <v>0.67650999999999994</v>
      </c>
      <c r="Q54" s="21" t="s">
        <v>36</v>
      </c>
    </row>
    <row r="55" spans="1:17" x14ac:dyDescent="0.2">
      <c r="A55" t="s">
        <v>17</v>
      </c>
      <c r="B55" t="s">
        <v>30</v>
      </c>
      <c r="C55" t="s">
        <v>27</v>
      </c>
      <c r="D55" s="3">
        <v>45523</v>
      </c>
      <c r="E55" s="4">
        <v>0.59722222222222221</v>
      </c>
      <c r="F55" t="s">
        <v>20</v>
      </c>
      <c r="G55">
        <v>10</v>
      </c>
      <c r="H55">
        <v>50</v>
      </c>
      <c r="J55" s="20">
        <v>0.86978</v>
      </c>
    </row>
    <row r="56" spans="1:17" x14ac:dyDescent="0.2">
      <c r="A56" t="s">
        <v>17</v>
      </c>
      <c r="B56" t="s">
        <v>30</v>
      </c>
      <c r="C56" t="s">
        <v>27</v>
      </c>
      <c r="D56" s="3">
        <v>45523</v>
      </c>
      <c r="E56" s="4">
        <v>0.65277777777777779</v>
      </c>
      <c r="F56" t="s">
        <v>20</v>
      </c>
      <c r="G56">
        <v>10</v>
      </c>
      <c r="H56">
        <v>50</v>
      </c>
      <c r="I56">
        <v>11</v>
      </c>
      <c r="J56" s="20">
        <v>0.87595999999999996</v>
      </c>
    </row>
    <row r="57" spans="1:17" x14ac:dyDescent="0.2">
      <c r="A57" t="s">
        <v>17</v>
      </c>
      <c r="B57" t="s">
        <v>30</v>
      </c>
      <c r="C57" t="s">
        <v>27</v>
      </c>
      <c r="D57" s="3">
        <v>45523</v>
      </c>
      <c r="E57" s="4">
        <v>0.66666666666666663</v>
      </c>
      <c r="F57" t="s">
        <v>20</v>
      </c>
      <c r="G57">
        <v>10</v>
      </c>
      <c r="H57">
        <v>50</v>
      </c>
      <c r="I57">
        <v>11</v>
      </c>
      <c r="J57" s="20">
        <v>0.99256999999999995</v>
      </c>
    </row>
    <row r="58" spans="1:17" x14ac:dyDescent="0.2">
      <c r="A58" t="s">
        <v>17</v>
      </c>
      <c r="B58" t="s">
        <v>30</v>
      </c>
      <c r="C58" t="s">
        <v>27</v>
      </c>
      <c r="D58" s="3">
        <v>45523</v>
      </c>
      <c r="E58" s="4">
        <v>0.78472222222222221</v>
      </c>
      <c r="F58" t="s">
        <v>20</v>
      </c>
      <c r="G58" s="11">
        <v>10</v>
      </c>
      <c r="H58" s="11">
        <v>50</v>
      </c>
      <c r="J58">
        <v>0.74509999999999998</v>
      </c>
    </row>
    <row r="59" spans="1:17" x14ac:dyDescent="0.2">
      <c r="D59" s="3"/>
    </row>
    <row r="60" spans="1:17" x14ac:dyDescent="0.2">
      <c r="D60" s="3"/>
    </row>
    <row r="61" spans="1:17" x14ac:dyDescent="0.2">
      <c r="A61" t="s">
        <v>17</v>
      </c>
      <c r="B61" t="s">
        <v>30</v>
      </c>
      <c r="C61" t="s">
        <v>27</v>
      </c>
      <c r="D61" s="3">
        <v>45881</v>
      </c>
      <c r="E61" s="4">
        <v>0.33333333333333331</v>
      </c>
      <c r="F61" t="s">
        <v>37</v>
      </c>
      <c r="J61">
        <v>9.3100000000000002E-2</v>
      </c>
      <c r="K61">
        <v>9.3200000000000005E-2</v>
      </c>
      <c r="N61">
        <v>14.96</v>
      </c>
    </row>
    <row r="62" spans="1:17" x14ac:dyDescent="0.2">
      <c r="A62" t="s">
        <v>17</v>
      </c>
      <c r="B62" t="s">
        <v>30</v>
      </c>
      <c r="C62" t="s">
        <v>27</v>
      </c>
      <c r="D62" s="3">
        <v>45881</v>
      </c>
      <c r="E62" s="4">
        <v>0.41319444444444442</v>
      </c>
      <c r="F62" t="s">
        <v>37</v>
      </c>
      <c r="J62">
        <v>8.3799999999999999E-2</v>
      </c>
      <c r="K62">
        <v>7.9200000000000007E-2</v>
      </c>
      <c r="N62">
        <v>9.82</v>
      </c>
    </row>
    <row r="63" spans="1:17" x14ac:dyDescent="0.2">
      <c r="A63" t="s">
        <v>17</v>
      </c>
      <c r="B63" t="s">
        <v>30</v>
      </c>
      <c r="C63" t="s">
        <v>27</v>
      </c>
      <c r="D63" s="3">
        <v>45881</v>
      </c>
      <c r="E63" s="4">
        <v>0.46527777777777779</v>
      </c>
      <c r="F63" t="s">
        <v>37</v>
      </c>
      <c r="J63">
        <v>9.1600000000000001E-2</v>
      </c>
      <c r="K63">
        <v>8.7099999999999997E-2</v>
      </c>
      <c r="N63">
        <v>20.46</v>
      </c>
    </row>
    <row r="64" spans="1:17" x14ac:dyDescent="0.2">
      <c r="A64" t="s">
        <v>17</v>
      </c>
      <c r="B64" t="s">
        <v>30</v>
      </c>
      <c r="C64" t="s">
        <v>27</v>
      </c>
      <c r="D64" s="3">
        <v>45881</v>
      </c>
      <c r="E64" s="4">
        <v>0.59305555555555556</v>
      </c>
      <c r="F64" t="s">
        <v>37</v>
      </c>
      <c r="J64">
        <v>0.58399999999999996</v>
      </c>
      <c r="K64">
        <v>0.56640000000000001</v>
      </c>
      <c r="N64">
        <v>8.07</v>
      </c>
    </row>
    <row r="65" spans="1:14" x14ac:dyDescent="0.2">
      <c r="A65" t="s">
        <v>17</v>
      </c>
      <c r="B65" t="s">
        <v>30</v>
      </c>
      <c r="C65" t="s">
        <v>27</v>
      </c>
      <c r="D65" s="3">
        <v>45881</v>
      </c>
      <c r="E65" s="4">
        <v>0.64930555555555558</v>
      </c>
      <c r="F65" t="s">
        <v>37</v>
      </c>
      <c r="J65">
        <v>0.74450000000000005</v>
      </c>
      <c r="K65">
        <v>0.752</v>
      </c>
      <c r="N65">
        <v>11.73</v>
      </c>
    </row>
    <row r="66" spans="1:14" x14ac:dyDescent="0.2">
      <c r="A66" t="s">
        <v>17</v>
      </c>
      <c r="B66" t="s">
        <v>30</v>
      </c>
      <c r="C66" t="s">
        <v>27</v>
      </c>
      <c r="D66" s="3">
        <v>45881</v>
      </c>
      <c r="E66" s="4">
        <v>0.70833333333333337</v>
      </c>
      <c r="F66" t="s">
        <v>37</v>
      </c>
      <c r="J66">
        <v>0.93</v>
      </c>
      <c r="K66">
        <v>0.93500000000000005</v>
      </c>
      <c r="N66">
        <v>8.74</v>
      </c>
    </row>
    <row r="67" spans="1:14" x14ac:dyDescent="0.2">
      <c r="A67" t="s">
        <v>17</v>
      </c>
      <c r="B67" t="s">
        <v>30</v>
      </c>
      <c r="C67" t="s">
        <v>27</v>
      </c>
      <c r="D67" s="3">
        <v>45881</v>
      </c>
      <c r="E67" s="4">
        <v>0.76527777777777772</v>
      </c>
      <c r="F67" t="s">
        <v>37</v>
      </c>
      <c r="J67">
        <v>0.9294</v>
      </c>
      <c r="K67">
        <v>0.90190000000000003</v>
      </c>
      <c r="N67">
        <v>10.36</v>
      </c>
    </row>
  </sheetData>
  <conditionalFormatting sqref="D2:D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2">
    <cfRule type="colorScale" priority="2">
      <colorScale>
        <cfvo type="min"/>
        <cfvo type="max"/>
        <color rgb="FFFFEF9C"/>
        <color rgb="FF63BE7B"/>
      </colorScale>
    </cfRule>
  </conditionalFormatting>
  <conditionalFormatting sqref="F26:F47">
    <cfRule type="colorScale" priority="4">
      <colorScale>
        <cfvo type="min"/>
        <cfvo type="max"/>
        <color rgb="FFFFEF9C"/>
        <color rgb="FF63BE7B"/>
      </colorScale>
    </cfRule>
  </conditionalFormatting>
  <conditionalFormatting sqref="J45:J47">
    <cfRule type="colorScale" priority="5">
      <colorScale>
        <cfvo type="min"/>
        <cfvo type="percentile" val="50"/>
        <cfvo type="max"/>
        <color theme="7" tint="0.79998168889431442"/>
        <color rgb="FFFFC000"/>
        <color rgb="FFFF0000"/>
      </colorScale>
    </cfRule>
  </conditionalFormatting>
  <conditionalFormatting sqref="K43:L47 L26:L42">
    <cfRule type="colorScale" priority="6">
      <colorScale>
        <cfvo type="min"/>
        <cfvo type="percentile" val="50"/>
        <cfvo type="max"/>
        <color theme="7" tint="0.79998168889431442"/>
        <color rgb="FFFFC000"/>
        <color rgb="FFFF0000"/>
      </colorScale>
    </cfRule>
  </conditionalFormatting>
  <conditionalFormatting sqref="V27:V44">
    <cfRule type="colorScale" priority="3">
      <colorScale>
        <cfvo type="min"/>
        <cfvo type="percentile" val="50"/>
        <cfvo type="max"/>
        <color theme="7" tint="0.79998168889431442"/>
        <color rgb="FFFFC00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POHL Eric</dc:creator>
  <cp:lastModifiedBy>POHL Eric</cp:lastModifiedBy>
  <dcterms:created xsi:type="dcterms:W3CDTF">2025-11-26T23:20:36Z</dcterms:created>
  <dcterms:modified xsi:type="dcterms:W3CDTF">2025-11-26T23:20:43Z</dcterms:modified>
</cp:coreProperties>
</file>